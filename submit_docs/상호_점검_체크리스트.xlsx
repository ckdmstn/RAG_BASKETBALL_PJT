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36FA4DE7-8F02-422A-8128-CE61FC8D982F}" xr6:coauthVersionLast="47" xr6:coauthVersionMax="47" xr10:uidLastSave="{00000000-0000-0000-0000-000000000000}"/>
  <bookViews>
    <workbookView xWindow="13695" yWindow="2325" windowWidth="24345" windowHeight="1813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<sst xmlns="http://schemas.openxmlformats.org/spreadsheetml/2006/main" count="241" uniqueCount="183">
  <si>
    <t>[SSAFY] AI 코어 프로젝트 2회차 — 셀프 · 상호 체크리스트</t>
  </si>
  <si>
    <t>점검 유형</t>
  </si>
  <si>
    <t>상호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</si>
  <si>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</si>
  <si>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</si>
  <si>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차은수</t>
  </si>
  <si>
    <t>점검자</t>
  </si>
  <si>
    <t>윤동현</t>
  </si>
  <si>
    <t>점검 일시</t>
  </si>
  <si>
    <t>2026-10-23 11:35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</si>
  <si>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</si>
  <si>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</si>
  <si>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</si>
  <si>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</si>
  <si>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</si>
  <si>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</si>
  <si>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</si>
  <si>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</si>
  <si>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</si>
  <si>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</si>
  <si>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</si>
  <si>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</si>
  <si>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</si>
  <si>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</si>
  <si>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scripts/index_players.py, src/data_prep/players.py</t>
  </si>
  <si>
    <t>임베딩은 가짜(해시)로 대체해 건수만 확인: 로드 186 = 색인 186. 색인 텍스트에 이름·팀·등번호·포지션·국내/외국인·신체·출신·드래프트·경력 포함. (출신 없는 5명·드래프트 없는 19명·출생 없는 12명은 데이터에 값이 없어 줄이 생략됨)</t>
  </si>
  <si>
    <t>F2002</t>
  </si>
  <si>
    <t>색인 작업을 두 번 실행해도 청크 수가 늘지 않는다</t>
  </si>
  <si>
    <t>스크립트를 두 번 실행하고 전후 청크 수 비교</t>
  </si>
  <si>
    <t>scripts/index_players.py, src/vectorstore/store.py</t>
  </si>
  <si>
    <t>같은 스크립트 로직을 2회 실행: 1차 186건 저장 → 2차 새로 0건·건너뜀 186건, 총 186 유지. 팀 정보 10건·문서 청크도 재실행 시 늘지 않음.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</si>
  <si>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</si>
  <si>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</si>
  <si>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</si>
  <si>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</si>
  <si>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scripts/show_selection.py, src/rag/query_extraction.py, src/rag/candidate_selection.py</t>
  </si>
  <si>
    <t>점검자 실행(show_selection): 검색어 5개가 출력되고 후보마다 [선택]/[버림]이 구분됨(서울 SK 나이츠 문서만 선택·본문 1868자). 관찰: ① 본인 문서 '이민서'가 [버림] — 동명이인 문서이거나 본인 문서 규칙(제목·'농구'·출생연도)에 안 맞은 것으로 보이며 확인 필요 ② 우승 횟수 질문인데 'KBL 챔피언결정전' 문서도 버려져 근거가 팀 문서 1건뿐.</t>
  </si>
  <si>
    <t>F2004 · NF2002</t>
  </si>
  <si>
    <t>같은 질문을 다시 물었을 때 수집이 다시 일어나지 않는다</t>
  </si>
  <si>
    <t>같은 질문을 두 번 실행해 수집 로그와 처리 시간 비교</t>
  </si>
  <si>
    <t>src/data_prep/cache.py, src/rag/collector.py, scripts/measure_time.py</t>
  </si>
  <si>
    <t>앱 로그: 이미 검색한 검색어는 위키 재검색 없이 '이미 검색한 검색어'로 처리되고 새 청크 0개. 같은 질문 2회 시간: 34.2초 → 25.2초. 한계: 같은 질문 2회의 수집 로그를 나란히 비교한 것은 아님(다른 질문에서 캐시 적중 확인). LLM이 검색어를 다르게 뽑으면 새로 검색함(첫 질문 캡처에서 새 검색어 3개는 위키 검색).</t>
  </si>
  <si>
    <t>F2005</t>
  </si>
  <si>
    <t>청크 크기 또는 중복 길이를 설정에서 바꿔 색인하면 청크 수가 달라진다</t>
  </si>
  <si>
    <t>설정값을 바꿔 재색인하고 청크 수 비교</t>
  </si>
  <si>
    <t>config.py, src/rag/chunking.py</t>
  </si>
  <si>
    <t>합성 문서로 1000/200 → 40개, 500/100 → 80개로 바뀜(config.CHUNK_SIZE·OVERLAP 사용). 단, 설정을 바꿔 재색인하면 이전 설정의 청크가 지워지지 않음(3000으로 올리면 8개가 되지만 컬렉션은 30 유지) → 설정 변경 시 chroma_db 삭제 후 재색인 필요.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</si>
  <si>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</si>
  <si>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</si>
  <si>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</si>
  <si>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</si>
  <si>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config.py, src/rag/retrieval.py</t>
  </si>
  <si>
    <t>config.TOP_K 3 → 근거 4건(선수 정보 1 + 문서 3), 6 → 7건(선수 정보 1 + 문서 6). 가짜 임베딩이라 의미 순위 변화는 못 봄. config.py 수정 후 앱 재시작해야 반영됨.</t>
  </si>
  <si>
    <t>F2007</t>
  </si>
  <si>
    <t>LangGraph가 retrieve와 generate 두 노드로 구성되어 있다</t>
  </si>
  <si>
    <t>그래프 구조 출력 또는 코드 캡처</t>
  </si>
  <si>
    <t>src/rag/graph.py</t>
  </si>
  <si>
    <t>build_graph() 노드: retrieve, generate / 연결: START→retrieve→generate→END.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</si>
  <si>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</si>
  <si>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</si>
  <si>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</si>
  <si>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app.py, src/rag/citations.py</t>
  </si>
  <si>
    <t>점검자 실행: 답변 끝 [근거 1]과 아래 근거 목록의 '[근거 1] (선수 정보) 박정웅 선수 정보 · 원문'이 일치, 인용된 근거만 표시. 종류 라벨 표시됨. 외부 문서((문서)·원문 링크)는 팀 가이드 화면에서 선수 정보와 구분되어 보임(선수 대화 화면에서 문서 인용 사례는 직접 못 봄).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</si>
  <si>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</si>
  <si>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</si>
  <si>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</si>
  <si>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src/rag/generation.py, app.py</t>
  </si>
  <si>
    <t>점검자 실행: '이 선수 혈액형은?' → '문서에서 확인되지 않습니다. 제공된 근거에는 …혈액형 정보가 없습니다.'로 추측 없이 답하고, 화면에 'ⓘ 답변에 인용된 근거가 없습니다.' 안내 표시.</t>
  </si>
  <si>
    <t>서비스 기능과 화면</t>
  </si>
  <si>
    <t>F2009</t>
  </si>
  <si>
    <t>항목을 바꿨을 때 이전 대화가 섞이지 않는다</t>
  </si>
  <si>
    <t>항목 A에서 대화 후 항목 B로 바꿔 질문</t>
  </si>
  <si>
    <t>app.py</t>
  </si>
  <si>
    <t>Streamlit AppTest(헤드리스, answer_question은 스텁): 선수 A에게 질문 → 선수 B로 바꾸면 대화창 비어 있음 → B 질문 후 A로 돌아오면 A의 대화만 표시. 대화가 선수 id별로 분리됨.</t>
  </si>
  <si>
    <t>F2011</t>
  </si>
  <si>
    <t>조건 기반 탐색 결과에 조건과 맞지 않는 항목이 섞이지 않는다</t>
  </si>
  <si>
    <t>조건을 입력해 결과 항목을 하나씩 대조</t>
  </si>
  <si>
    <t>src/rag/search_conditions.py, src/rag/player_search.py</t>
  </si>
  <si>
    <t>점검자 실행: '고려대 출신 가드', '신인왕을 받은 선수', '서울 SK 나이츠 외국인 센터 중 키 큰 순서' 결과가 조건과 맞게 나옴(점검자 보고).</t>
  </si>
  <si>
    <t>F2010</t>
  </si>
  <si>
    <t>도메인 특화 기능의 결과에도 근거가 함께 제시된다</t>
  </si>
  <si>
    <t>특화 기능을 실행해 근거 표시 확인</t>
  </si>
  <si>
    <t>src/rag/team_guide.py, app.py</t>
  </si>
  <si>
    <t>점검자 실행: 제목 4개(연고지·홈구장/역사/주요 성적/현재 선수단)가 고정 순서로 나오고 문장마다 [근거 n]이 붙으며 아래에 근거 3건(종류·제목·원문)이 표시됨. 관찰: '홈구장은 확인되지 않습니다'로 나옴 — 팀 정보 청크에 홈구장이 있으므로 index_teams 미실행(문서 청크 11건)이 원인일 수 있음.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</si>
  <si>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</si>
  <si>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</si>
  <si>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</si>
  <si>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app.py, src/rag/pipeline.py</t>
  </si>
  <si>
    <t>점검자 실행: 질문 처리 중 단계별 진행 문구(검색어 뽑는 중…, 위키백과 검색…, 문서 4개 색인…, 근거 7개 찾음)가 표시됨. 키 없음·색인 없음 안내는 AppTest로 확인(키 없음→GMS_KEY 안내, 색인 없음→index_players 안내, 둘 다 정지). 참고: pipeline.py 의 collect_documents 호출에 try/except가 없어(주석만) '위키 수집 실패해도 이미 색인된 자료로 답함'(verification_log 5-4)은 코드와 다름.</t>
  </si>
  <si>
    <t>(해당 도메인만) 건강 · 금융처럼 판단이 위험한 도메인이면 전문가 조언을 대신하지 않는다는 안내가 표시된다</t>
  </si>
  <si>
    <t>답변 화면에서 면책 안내 확인</t>
  </si>
  <si>
    <t>해당없음</t>
  </si>
  <si>
    <t>KBL 농구 선수·팀 안내 앱으로 건강·금융처럼 판단이 위험한 도메인이 아님.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</si>
  <si>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</si>
  <si>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</si>
  <si>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</si>
  <si>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</si>
  <si>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F2013(HTML·CSS·JS 프론트) 미선택. 화면은 Streamlit으로 구현.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</si>
  <si>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</si>
  <si>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</si>
  <si>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</si>
  <si>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F2014(MMR) 미선택. config.SEARCH_TYPE 값만 있고 mmr을 쓰는 코드는 없음.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</si>
  <si>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</si>
  <si>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</si>
  <si>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</si>
  <si>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docs/rag_comparison.md</t>
  </si>
  <si>
    <t>질문 6개(정답 있는 5개 + 근거 없는 1개)를 RAG 없이/사용으로 답하게 해 정확성(0/5 vs 5/5)·근거 제시(0/5 vs 5/5)·모른다고 답함(1/1 vs 1/1)을 비교해 기록함. 작성자가 기록한 문서를 확인한 것이며 재실행은 안 함. 키워드 자동 판정·질문 6개라는 한계는 문서에 적혀 있음.</t>
  </si>
  <si>
    <t>비교 결과를 문서로 작성해 제출물에 포함했다</t>
  </si>
  <si>
    <t>제출물 폴더 확인</t>
  </si>
  <si>
    <t>비교 결과가 별도 문서로 작성되어 전달받은 프로젝트에 포함됨. README에도 요약·링크 있음.</t>
  </si>
  <si>
    <t>F2016</t>
  </si>
  <si>
    <t>근거 목록에 출처의 종류가 구분되어 표시된다</t>
  </si>
  <si>
    <t>근거 목록 화면 확인</t>
  </si>
  <si>
    <t>F2016 미선택(규정 PDF는 색인하지 않음, README·verification_log와 동일). 참고: 근거 목록에 (선수 정보/팀 정보/문서) 종류 라벨은 표시됨.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</si>
  <si>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</si>
  <si>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</si>
  <si>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</si>
  <si>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</si>
  <si>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scripts/measure_time.py</t>
  </si>
  <si>
    <t>점검자 측정(measure_time): 1회차(수집·색인 포함) 34.2초, 2회차(캐시 사용) 25.2초. 작성자 기록(27.9·16.0초)보다 느리고 2회차에도 25초라 캐시 효과가 작음(대부분 LLM 호출). 진행 상태 표시로 보완. '지장 없음' 기준 시간은 NF2001 확인 필요.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</si>
  <si>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</si>
  <si>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</si>
  <si>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</si>
  <si>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.gitignore, app.py, config.py</t>
  </si>
  <si>
    <t>저장소에서 키 패턴(sk-…, GMS_KEY=값 대입) 검색 결과 없음(config.py 의 os.getenv 줄뿐), .env 파일 없음·.gitignore 에 .env 포함. 스텁으로 키·Traceback·프롬프트 문구가 담긴 예외를 일으켜도 화면엔 '오류 종류: RuntimeError'만 표시. 실제 키 값을 몰라 패턴으로 검색함. 작성자 캡처 07·08·10 에도 키·추적 정보 없음.</t>
  </si>
  <si>
    <t>NF2005</t>
  </si>
  <si>
    <t>수집 · 색인 · 검색 · 생성 · UI가 모듈로 분리되어 있다</t>
  </si>
  <si>
    <t>파일 구성 확인</t>
  </si>
  <si>
    <t>README.md (폴더 구조), src/, app.py</t>
  </si>
  <si>
    <t>app.py(화면) / src/data_prep(로드·위키·캐시) / src/vectorstore(컬렉션·색인) / src/rag(검색어·선별·수집·청킹·색인·검색·생성·그래프) 로 분리. app.py는 answer_question 등을 호출만 함.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</si>
  <si>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</si>
  <si>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</si>
  <si>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</si>
  <si>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src/data_prep/wiki.py, config.py</t>
  </si>
  <si>
    <t>wiki.py: 요청 전 0.4초 대기, 429 시 Retry-After 대기 후 최대 4회 재시도, 타임아웃 20초, User-Agent(앱 이름 + 연락처) 지정. 점검자 확인: 작성자 .env 에 WIKI_CONTACT 가 설정되어 있어 연락처가 포함됨. 개선 여지: README .env 안내에 WIKI_CONTACT 가 없고, 값이 비면 연락처 없는 UA로 조용히 호출함(경고·중단 없음).</t>
  </si>
  <si>
    <t>NF2007</t>
  </si>
  <si>
    <t>사용한 데이터와 문서의 출처 · 이용 조건을 기록했다</t>
  </si>
  <si>
    <t>README 확인</t>
  </si>
  <si>
    <t>README.md, data/kbl_source_notes.json</t>
  </si>
  <si>
    <t>데이터 출처·기준일·개인 학습용 명시, 위키백과 CC BY-SA 4.0·User-Agent·캐시, 규정 PDF 이용 조건 기록. data/kbl_source_notes.json 에 출처 목록.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</si>
  <si>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</si>
  <si>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</si>
  <si>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</si>
  <si>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</si>
  <si>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docs/verification_log.md, docs/rag_comparison.md</t>
  </si>
  <si>
    <t>점검 결과 F2001~F2012에 해당하는 항목(1~13번)이 모두 통과. 심화 F2015 는 필수 기능 결과와 비교한 문서가 있음(17번). 한계: Top-k·청크 설정 변경(5·6번)은 가짜 임베딩으로 확인해 실제 의미 검색 결과 변화는 못 봄.</t>
  </si>
  <si>
    <t>증명을 위한 스크린샷 항목을 모두 첨부했다</t>
  </si>
  <si>
    <t>증빙 칸과 첨부 파일 대조</t>
  </si>
  <si>
    <t>img/01~10, submit_doc/셀프체크리스트_차은수.xlsx</t>
  </si>
  <si>
    <t>셀프 체크리스트 증빙 칸에 적힌 캡처 img/01~10이 모두 img/ 폴더에 있고 README에서도 쓰임(대조 완료). 점검자의 이번 실행 결과는 캡처 없이 비고에 기록.</t>
  </si>
  <si>
    <t>요구사항 정의서 · RAG 파이프라인 설계문서 · 소스코드 · README.md · 검증 결과(요구사항 대조표, 테스트 결과표, 셀프 · 상호 체크리스트)를 모두 포함했다</t>
  </si>
  <si>
    <t>submit_doc/</t>
  </si>
  <si>
    <t>점검자 확인: submit_doc/ 에 요구사항정의서.md, 파이프라인 설계 문서(.md), 셀프체크리스트_차은수.xlsx 있음. 소스코드·README·docs/verification_log.md(요구사항 대조표·테스트 결과표) 포함. 상호 체크리스트는 이 양식으로 작성. (처음 받은 zip에는 submit_doc/ 가 없었음)</t>
  </si>
  <si>
    <t>집계</t>
  </si>
  <si>
    <t>제출 전에 「실패」 · 「미확인」 · 「미기입」이 남아 있으면 비고에 사유가 적혀 있는지 확인합니다.</t>
  </si>
  <si>
    <t>실패</t>
  </si>
  <si>
    <t>미확인</t>
  </si>
  <si>
    <t>미기입</t>
  </si>
  <si>
    <t>전체 항목</t>
  </si>
  <si>
    <t>상호 점검 피드백 — 상호 점검 때만 작성 (짧게 한두 문장)</t>
  </si>
  <si>
    <t>잘한 것 하나</t>
  </si>
  <si>
    <t>코드(날짜·조건 필터·정렬·인용 파싱)와 LLM의 역할을 나누고 LLM 출력을 코드가 검증해서, 키 없이도 색인·필터·인용 로직과 오류 화면(키·추적 비노출)이 그대로 재현됐어요.</t>
  </si>
  <si>
    <t>개선할 것 하나</t>
  </si>
  <si>
    <t>README .env 안내에 WIKI_CONTACT 가 없고 값이 비면 연락처 없는 User-Agent 로 호출하니, 안내를 추가하고 비었을 때 경고·중단하도록 고쳐 주세요.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</si>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</sst>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topLeftCell="A33" zoomScale="90" zoomScaleNormal="90" workbookViewId="0">
      <selection activeCell="F13" sqref="F13"/>
    </sheetView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2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2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2" t="s">
        <v>6</v>
      </c>
      <c r="C5" s="41" t="s">
        <v>7</v>
      </c>
      <c r="D5" s="20"/>
      <c r="E5" s="21"/>
      <c r="F5" s="30"/>
      <c r="G5" s="23"/>
      <c r="H5" s="23"/>
      <c r="I5" s="31"/>
    </row>
    <row r="6" spans="2:9" ht="24" customHeight="1">
      <c r="B6" s="2" t="s">
        <v>8</v>
      </c>
      <c r="C6" s="41" t="s">
        <v>9</v>
      </c>
      <c r="D6" s="20"/>
      <c r="E6" s="21"/>
      <c r="F6" s="32"/>
      <c r="G6" s="33"/>
      <c r="H6" s="33"/>
      <c r="I6" s="34"/>
    </row>
    <row r="7" spans="2:9" ht="18" customHeight="1">
      <c r="B7" s="22" t="s">
        <v>10</v>
      </c>
      <c r="C7" s="23"/>
      <c r="D7" s="23"/>
      <c r="E7" s="23"/>
      <c r="F7" s="23"/>
      <c r="G7" s="23"/>
      <c r="H7" s="23"/>
      <c r="I7" s="23"/>
    </row>
    <row r="8" spans="2:9" ht="24" customHeight="1"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</row>
    <row r="9" spans="2:9" ht="90" customHeight="1">
      <c r="B9" s="24" t="s">
        <v>19</v>
      </c>
      <c r="C9" s="4">
        <v>1</v>
      </c>
      <c r="D9" s="4" t="s">
        <v>20</v>
      </c>
      <c r="E9" s="3" t="s">
        <v>21</v>
      </c>
      <c r="F9" s="3" t="s">
        <v>22</v>
      </c>
      <c r="G9" s="5" t="s">
        <v>23</v>
      </c>
      <c r="H9" s="6" t="s">
        <v>24</v>
      </c>
      <c r="I9" s="6" t="s">
        <v>25</v>
      </c>
    </row>
    <row r="10" spans="2:9" ht="60" customHeight="1">
      <c r="B10" s="26"/>
      <c r="C10" s="4">
        <v>2</v>
      </c>
      <c r="D10" s="4" t="s">
        <v>26</v>
      </c>
      <c r="E10" s="3" t="s">
        <v>27</v>
      </c>
      <c r="F10" s="3" t="s">
        <v>28</v>
      </c>
      <c r="G10" s="5" t="s">
        <v>23</v>
      </c>
      <c r="H10" s="6" t="s">
        <v>29</v>
      </c>
      <c r="I10" s="6" t="s">
        <v>30</v>
      </c>
    </row>
    <row r="11" spans="2:9" ht="135" customHeight="1">
      <c r="B11" s="24" t="s">
        <v>31</v>
      </c>
      <c r="C11" s="4">
        <v>3</v>
      </c>
      <c r="D11" s="4" t="s">
        <v>32</v>
      </c>
      <c r="E11" s="3" t="s">
        <v>33</v>
      </c>
      <c r="F11" s="3" t="s">
        <v>34</v>
      </c>
      <c r="G11" s="5" t="s">
        <v>23</v>
      </c>
      <c r="H11" s="6" t="s">
        <v>35</v>
      </c>
      <c r="I11" s="6" t="s">
        <v>36</v>
      </c>
    </row>
    <row r="12" spans="2:9" ht="120" customHeight="1">
      <c r="B12" s="25"/>
      <c r="C12" s="4">
        <v>4</v>
      </c>
      <c r="D12" s="4" t="s">
        <v>37</v>
      </c>
      <c r="E12" s="3" t="s">
        <v>38</v>
      </c>
      <c r="F12" s="3" t="s">
        <v>39</v>
      </c>
      <c r="G12" s="5" t="s">
        <v>23</v>
      </c>
      <c r="H12" s="6" t="s">
        <v>40</v>
      </c>
      <c r="I12" s="6" t="s">
        <v>41</v>
      </c>
    </row>
    <row r="13" spans="2:9" ht="105" customHeight="1">
      <c r="B13" s="26"/>
      <c r="C13" s="4">
        <v>5</v>
      </c>
      <c r="D13" s="4" t="s">
        <v>42</v>
      </c>
      <c r="E13" s="3" t="s">
        <v>43</v>
      </c>
      <c r="F13" s="3" t="s">
        <v>44</v>
      </c>
      <c r="G13" s="5" t="s">
        <v>23</v>
      </c>
      <c r="H13" s="6" t="s">
        <v>45</v>
      </c>
      <c r="I13" s="6" t="s">
        <v>46</v>
      </c>
    </row>
    <row r="14" spans="2:9" ht="75" customHeight="1">
      <c r="B14" s="24" t="s">
        <v>47</v>
      </c>
      <c r="C14" s="4">
        <v>6</v>
      </c>
      <c r="D14" s="4" t="s">
        <v>48</v>
      </c>
      <c r="E14" s="3" t="s">
        <v>49</v>
      </c>
      <c r="F14" s="7" t="s">
        <v>50</v>
      </c>
      <c r="G14" s="5" t="s">
        <v>23</v>
      </c>
      <c r="H14" s="6" t="s">
        <v>51</v>
      </c>
      <c r="I14" s="6" t="s">
        <v>52</v>
      </c>
    </row>
    <row r="15" spans="2:9" ht="45" customHeight="1">
      <c r="B15" s="25"/>
      <c r="C15" s="4">
        <v>7</v>
      </c>
      <c r="D15" s="4" t="s">
        <v>53</v>
      </c>
      <c r="E15" s="7" t="s">
        <v>54</v>
      </c>
      <c r="F15" s="3" t="s">
        <v>55</v>
      </c>
      <c r="G15" s="5" t="s">
        <v>23</v>
      </c>
      <c r="H15" s="6" t="s">
        <v>56</v>
      </c>
      <c r="I15" s="6" t="s">
        <v>57</v>
      </c>
    </row>
    <row r="16" spans="2:9" ht="105" customHeight="1">
      <c r="B16" s="25"/>
      <c r="C16" s="4">
        <v>8</v>
      </c>
      <c r="D16" s="4" t="s">
        <v>58</v>
      </c>
      <c r="E16" s="3" t="s">
        <v>59</v>
      </c>
      <c r="F16" s="3" t="s">
        <v>60</v>
      </c>
      <c r="G16" s="5" t="s">
        <v>23</v>
      </c>
      <c r="H16" s="6" t="s">
        <v>61</v>
      </c>
      <c r="I16" s="6" t="s">
        <v>62</v>
      </c>
    </row>
    <row r="17" spans="2:9" ht="75" customHeight="1">
      <c r="B17" s="26"/>
      <c r="C17" s="4">
        <v>9</v>
      </c>
      <c r="D17" s="4" t="s">
        <v>63</v>
      </c>
      <c r="E17" s="3" t="s">
        <v>64</v>
      </c>
      <c r="F17" s="3" t="s">
        <v>65</v>
      </c>
      <c r="G17" s="5" t="s">
        <v>23</v>
      </c>
      <c r="H17" s="6" t="s">
        <v>66</v>
      </c>
      <c r="I17" s="6" t="s">
        <v>67</v>
      </c>
    </row>
    <row r="18" spans="2:9" ht="75" customHeight="1">
      <c r="B18" s="24" t="s">
        <v>68</v>
      </c>
      <c r="C18" s="4">
        <v>10</v>
      </c>
      <c r="D18" s="4" t="s">
        <v>69</v>
      </c>
      <c r="E18" s="3" t="s">
        <v>70</v>
      </c>
      <c r="F18" s="3" t="s">
        <v>71</v>
      </c>
      <c r="G18" s="5" t="s">
        <v>23</v>
      </c>
      <c r="H18" s="6" t="s">
        <v>72</v>
      </c>
      <c r="I18" s="6" t="s">
        <v>73</v>
      </c>
    </row>
    <row r="19" spans="2:9" ht="60" customHeight="1">
      <c r="B19" s="25"/>
      <c r="C19" s="4">
        <v>11</v>
      </c>
      <c r="D19" s="4" t="s">
        <v>74</v>
      </c>
      <c r="E19" s="3" t="s">
        <v>75</v>
      </c>
      <c r="F19" s="3" t="s">
        <v>76</v>
      </c>
      <c r="G19" s="5" t="s">
        <v>23</v>
      </c>
      <c r="H19" s="6" t="s">
        <v>77</v>
      </c>
      <c r="I19" s="6" t="s">
        <v>78</v>
      </c>
    </row>
    <row r="20" spans="2:9" ht="105" customHeight="1">
      <c r="B20" s="25"/>
      <c r="C20" s="4">
        <v>12</v>
      </c>
      <c r="D20" s="4" t="s">
        <v>79</v>
      </c>
      <c r="E20" s="3" t="s">
        <v>80</v>
      </c>
      <c r="F20" s="3" t="s">
        <v>81</v>
      </c>
      <c r="G20" s="5" t="s">
        <v>23</v>
      </c>
      <c r="H20" s="6" t="s">
        <v>82</v>
      </c>
      <c r="I20" s="6" t="s">
        <v>83</v>
      </c>
    </row>
    <row r="21" spans="2:9" ht="165" customHeight="1">
      <c r="B21" s="25"/>
      <c r="C21" s="4">
        <v>13</v>
      </c>
      <c r="D21" s="4" t="s">
        <v>84</v>
      </c>
      <c r="E21" s="3" t="s">
        <v>85</v>
      </c>
      <c r="F21" s="3" t="s">
        <v>86</v>
      </c>
      <c r="G21" s="5" t="s">
        <v>23</v>
      </c>
      <c r="H21" s="6" t="s">
        <v>87</v>
      </c>
      <c r="I21" s="6" t="s">
        <v>88</v>
      </c>
    </row>
    <row r="22" spans="2:9" ht="48" customHeight="1">
      <c r="B22" s="26"/>
      <c r="C22" s="4">
        <v>14</v>
      </c>
      <c r="D22" s="4" t="s">
        <v>84</v>
      </c>
      <c r="E22" s="7" t="s">
        <v>89</v>
      </c>
      <c r="F22" s="3" t="s">
        <v>90</v>
      </c>
      <c r="G22" s="5" t="s">
        <v>91</v>
      </c>
      <c r="H22" s="6"/>
      <c r="I22" s="6" t="s">
        <v>92</v>
      </c>
    </row>
    <row r="23" spans="2:9" ht="34.5" customHeight="1">
      <c r="B23" s="24" t="s">
        <v>93</v>
      </c>
      <c r="C23" s="4">
        <v>15</v>
      </c>
      <c r="D23" s="4" t="s">
        <v>94</v>
      </c>
      <c r="E23" s="3" t="s">
        <v>95</v>
      </c>
      <c r="F23" s="3" t="s">
        <v>96</v>
      </c>
      <c r="G23" s="5" t="s">
        <v>91</v>
      </c>
      <c r="H23" s="6"/>
      <c r="I23" s="6" t="s">
        <v>97</v>
      </c>
    </row>
    <row r="24" spans="2:9" ht="45" customHeight="1">
      <c r="B24" s="25"/>
      <c r="C24" s="4">
        <v>16</v>
      </c>
      <c r="D24" s="4" t="s">
        <v>98</v>
      </c>
      <c r="E24" s="3" t="s">
        <v>99</v>
      </c>
      <c r="F24" s="3" t="s">
        <v>100</v>
      </c>
      <c r="G24" s="5" t="s">
        <v>91</v>
      </c>
      <c r="H24" s="6"/>
      <c r="I24" s="6" t="s">
        <v>101</v>
      </c>
    </row>
    <row r="25" spans="2:9" ht="105" customHeight="1">
      <c r="B25" s="25"/>
      <c r="C25" s="4">
        <v>17</v>
      </c>
      <c r="D25" s="4" t="s">
        <v>102</v>
      </c>
      <c r="E25" s="3" t="s">
        <v>103</v>
      </c>
      <c r="F25" s="3" t="s">
        <v>104</v>
      </c>
      <c r="G25" s="5" t="s">
        <v>23</v>
      </c>
      <c r="H25" s="6" t="s">
        <v>105</v>
      </c>
      <c r="I25" s="6" t="s">
        <v>106</v>
      </c>
    </row>
    <row r="26" spans="2:9" ht="45" customHeight="1">
      <c r="B26" s="25"/>
      <c r="C26" s="4">
        <v>18</v>
      </c>
      <c r="D26" s="4" t="s">
        <v>102</v>
      </c>
      <c r="E26" s="3" t="s">
        <v>107</v>
      </c>
      <c r="F26" s="3" t="s">
        <v>108</v>
      </c>
      <c r="G26" s="5" t="s">
        <v>23</v>
      </c>
      <c r="H26" s="6" t="s">
        <v>105</v>
      </c>
      <c r="I26" s="6" t="s">
        <v>109</v>
      </c>
    </row>
    <row r="27" spans="2:9" ht="60" customHeight="1">
      <c r="B27" s="26"/>
      <c r="C27" s="4">
        <v>19</v>
      </c>
      <c r="D27" s="4" t="s">
        <v>110</v>
      </c>
      <c r="E27" s="3" t="s">
        <v>111</v>
      </c>
      <c r="F27" s="3" t="s">
        <v>112</v>
      </c>
      <c r="G27" s="5" t="s">
        <v>91</v>
      </c>
      <c r="H27" s="6"/>
      <c r="I27" s="6" t="s">
        <v>113</v>
      </c>
    </row>
    <row r="28" spans="2:9" ht="105" customHeight="1">
      <c r="B28" s="24" t="s">
        <v>114</v>
      </c>
      <c r="C28" s="4">
        <v>20</v>
      </c>
      <c r="D28" s="4" t="s">
        <v>115</v>
      </c>
      <c r="E28" s="3" t="s">
        <v>116</v>
      </c>
      <c r="F28" s="3" t="s">
        <v>117</v>
      </c>
      <c r="G28" s="5" t="s">
        <v>23</v>
      </c>
      <c r="H28" s="6" t="s">
        <v>118</v>
      </c>
      <c r="I28" s="6" t="s">
        <v>119</v>
      </c>
    </row>
    <row r="29" spans="2:9" ht="135" customHeight="1">
      <c r="B29" s="25"/>
      <c r="C29" s="4">
        <v>21</v>
      </c>
      <c r="D29" s="4" t="s">
        <v>120</v>
      </c>
      <c r="E29" s="3" t="s">
        <v>121</v>
      </c>
      <c r="F29" s="3" t="s">
        <v>122</v>
      </c>
      <c r="G29" s="5" t="s">
        <v>23</v>
      </c>
      <c r="H29" s="6" t="s">
        <v>123</v>
      </c>
      <c r="I29" s="6" t="s">
        <v>124</v>
      </c>
    </row>
    <row r="30" spans="2:9" ht="90" customHeight="1">
      <c r="B30" s="25"/>
      <c r="C30" s="4">
        <v>22</v>
      </c>
      <c r="D30" s="4" t="s">
        <v>125</v>
      </c>
      <c r="E30" s="3" t="s">
        <v>126</v>
      </c>
      <c r="F30" s="3" t="s">
        <v>127</v>
      </c>
      <c r="G30" s="5" t="s">
        <v>23</v>
      </c>
      <c r="H30" s="6" t="s">
        <v>128</v>
      </c>
      <c r="I30" s="6" t="s">
        <v>129</v>
      </c>
    </row>
    <row r="31" spans="2:9" ht="135" customHeight="1">
      <c r="B31" s="25"/>
      <c r="C31" s="4">
        <v>23</v>
      </c>
      <c r="D31" s="4" t="s">
        <v>130</v>
      </c>
      <c r="E31" s="3" t="s">
        <v>131</v>
      </c>
      <c r="F31" s="3" t="s">
        <v>132</v>
      </c>
      <c r="G31" s="5" t="s">
        <v>23</v>
      </c>
      <c r="H31" s="6" t="s">
        <v>133</v>
      </c>
      <c r="I31" s="6" t="s">
        <v>134</v>
      </c>
    </row>
    <row r="32" spans="2:9" ht="75" customHeight="1">
      <c r="B32" s="26"/>
      <c r="C32" s="4">
        <v>24</v>
      </c>
      <c r="D32" s="4" t="s">
        <v>135</v>
      </c>
      <c r="E32" s="3" t="s">
        <v>136</v>
      </c>
      <c r="F32" s="7" t="s">
        <v>137</v>
      </c>
      <c r="G32" s="5" t="s">
        <v>23</v>
      </c>
      <c r="H32" s="6" t="s">
        <v>138</v>
      </c>
      <c r="I32" s="6" t="s">
        <v>139</v>
      </c>
    </row>
    <row r="33" spans="2:9" ht="90" customHeight="1">
      <c r="B33" s="24" t="s">
        <v>140</v>
      </c>
      <c r="C33" s="4">
        <v>25</v>
      </c>
      <c r="D33" s="8" t="s">
        <v>141</v>
      </c>
      <c r="E33" s="3" t="s">
        <v>142</v>
      </c>
      <c r="F33" s="3" t="s">
        <v>143</v>
      </c>
      <c r="G33" s="5" t="s">
        <v>23</v>
      </c>
      <c r="H33" s="6" t="s">
        <v>144</v>
      </c>
      <c r="I33" s="6" t="s">
        <v>145</v>
      </c>
    </row>
    <row r="34" spans="2:9" ht="60" customHeight="1">
      <c r="B34" s="25"/>
      <c r="C34" s="4">
        <v>26</v>
      </c>
      <c r="D34" s="8" t="s">
        <v>141</v>
      </c>
      <c r="E34" s="3" t="s">
        <v>146</v>
      </c>
      <c r="F34" s="3" t="s">
        <v>147</v>
      </c>
      <c r="G34" s="5" t="s">
        <v>23</v>
      </c>
      <c r="H34" s="6" t="s">
        <v>148</v>
      </c>
      <c r="I34" s="6" t="s">
        <v>149</v>
      </c>
    </row>
    <row r="35" spans="2:9" ht="120" customHeight="1">
      <c r="B35" s="26"/>
      <c r="C35" s="4">
        <v>27</v>
      </c>
      <c r="D35" s="8" t="s">
        <v>141</v>
      </c>
      <c r="E35" s="3" t="s">
        <v>150</v>
      </c>
      <c r="F35" s="3" t="s">
        <v>108</v>
      </c>
      <c r="G35" s="5" t="s">
        <v>23</v>
      </c>
      <c r="H35" s="6" t="s">
        <v>151</v>
      </c>
      <c r="I35" s="6" t="s">
        <v>152</v>
      </c>
    </row>
    <row r="37" spans="2:9" ht="19.5" customHeight="1">
      <c r="B37" s="38" t="s">
        <v>153</v>
      </c>
      <c r="C37" s="19" t="s">
        <v>23</v>
      </c>
      <c r="D37" s="20"/>
      <c r="E37" s="21"/>
      <c r="F37" s="10">
        <f>COUNTIF($G$9:$G$35,"통과")</f>
        <v>23</v>
      </c>
      <c r="G37" s="27" t="s">
        <v>154</v>
      </c>
      <c r="H37" s="28"/>
      <c r="I37" s="29"/>
    </row>
    <row r="38" spans="2:9" ht="19.5" customHeight="1">
      <c r="B38" s="25"/>
      <c r="C38" s="19" t="s">
        <v>155</v>
      </c>
      <c r="D38" s="20"/>
      <c r="E38" s="21"/>
      <c r="F38" s="10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156</v>
      </c>
      <c r="D39" s="20"/>
      <c r="E39" s="21"/>
      <c r="F39" s="10">
        <f>COUNTIF($G$9:$G$35,"미확인")</f>
        <v>0</v>
      </c>
      <c r="G39" s="30"/>
      <c r="H39" s="23"/>
      <c r="I39" s="31"/>
    </row>
    <row r="40" spans="2:9" ht="19.5" customHeight="1">
      <c r="B40" s="25"/>
      <c r="C40" s="19" t="s">
        <v>91</v>
      </c>
      <c r="D40" s="20"/>
      <c r="E40" s="21"/>
      <c r="F40" s="10">
        <f>COUNTIF($G$9:$G$35,"해당없음")</f>
        <v>4</v>
      </c>
      <c r="G40" s="30"/>
      <c r="H40" s="23"/>
      <c r="I40" s="31"/>
    </row>
    <row r="41" spans="2:9" ht="19.5" customHeight="1">
      <c r="B41" s="25"/>
      <c r="C41" s="19" t="s">
        <v>157</v>
      </c>
      <c r="D41" s="20"/>
      <c r="E41" s="21"/>
      <c r="F41" s="10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158</v>
      </c>
      <c r="D42" s="20"/>
      <c r="E42" s="21"/>
      <c r="F42" s="10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159</v>
      </c>
      <c r="C44" s="20"/>
      <c r="D44" s="20"/>
      <c r="E44" s="20"/>
      <c r="F44" s="20"/>
      <c r="G44" s="20"/>
      <c r="H44" s="20"/>
      <c r="I44" s="21"/>
    </row>
    <row r="45" spans="2:9" ht="48" customHeight="1">
      <c r="B45" s="9" t="s">
        <v>160</v>
      </c>
      <c r="C45" s="39" t="s">
        <v>161</v>
      </c>
      <c r="D45" s="20"/>
      <c r="E45" s="20"/>
      <c r="F45" s="20"/>
      <c r="G45" s="20"/>
      <c r="H45" s="20"/>
      <c r="I45" s="21"/>
    </row>
    <row r="46" spans="2:9" ht="36" customHeight="1">
      <c r="B46" s="9" t="s">
        <v>162</v>
      </c>
      <c r="C46" s="39" t="s">
        <v>163</v>
      </c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5" t="s">
        <v>164</v>
      </c>
      <c r="C2" s="23"/>
      <c r="D2" s="23"/>
      <c r="E2" s="23"/>
      <c r="F2" s="23"/>
      <c r="G2" s="23"/>
      <c r="H2" s="23"/>
    </row>
    <row r="4" spans="2:8" ht="45.75" customHeight="1">
      <c r="B4" s="11" t="s">
        <v>165</v>
      </c>
      <c r="C4" s="42" t="s">
        <v>166</v>
      </c>
      <c r="D4" s="20"/>
      <c r="E4" s="20"/>
      <c r="F4" s="20"/>
      <c r="G4" s="20"/>
      <c r="H4" s="21"/>
    </row>
    <row r="5" spans="2:8" ht="45.75" customHeight="1">
      <c r="B5" s="11" t="s">
        <v>167</v>
      </c>
      <c r="C5" s="42" t="s">
        <v>168</v>
      </c>
      <c r="D5" s="20"/>
      <c r="E5" s="20"/>
      <c r="F5" s="20"/>
      <c r="G5" s="20"/>
      <c r="H5" s="21"/>
    </row>
    <row r="6" spans="2:8" ht="81.75" customHeight="1">
      <c r="B6" s="11" t="s">
        <v>16</v>
      </c>
      <c r="C6" s="42" t="s">
        <v>169</v>
      </c>
      <c r="D6" s="20"/>
      <c r="E6" s="20"/>
      <c r="F6" s="20"/>
      <c r="G6" s="20"/>
      <c r="H6" s="21"/>
    </row>
    <row r="7" spans="2:8" ht="45.75" customHeight="1">
      <c r="B7" s="11" t="s">
        <v>170</v>
      </c>
      <c r="C7" s="42" t="s">
        <v>171</v>
      </c>
      <c r="D7" s="20"/>
      <c r="E7" s="20"/>
      <c r="F7" s="20"/>
      <c r="G7" s="20"/>
      <c r="H7" s="21"/>
    </row>
    <row r="8" spans="2:8" ht="27.75" customHeight="1">
      <c r="B8" s="11" t="s">
        <v>153</v>
      </c>
      <c r="C8" s="42" t="s">
        <v>172</v>
      </c>
      <c r="D8" s="20"/>
      <c r="E8" s="20"/>
      <c r="F8" s="20"/>
      <c r="G8" s="20"/>
      <c r="H8" s="21"/>
    </row>
    <row r="9" spans="2:8" ht="45.75" customHeight="1">
      <c r="B9" s="11" t="s">
        <v>173</v>
      </c>
      <c r="C9" s="42" t="s">
        <v>174</v>
      </c>
      <c r="D9" s="20"/>
      <c r="E9" s="20"/>
      <c r="F9" s="20"/>
      <c r="G9" s="20"/>
      <c r="H9" s="21"/>
    </row>
    <row r="10" spans="2:8" ht="27.75" customHeight="1">
      <c r="B10" s="11" t="s">
        <v>175</v>
      </c>
      <c r="C10" s="43" t="s">
        <v>176</v>
      </c>
      <c r="D10" s="20"/>
      <c r="E10" s="20"/>
      <c r="F10" s="20"/>
      <c r="G10" s="20"/>
      <c r="H10" s="21"/>
    </row>
    <row r="12" spans="2:8" ht="15" customHeight="1">
      <c r="B12" s="44" t="s">
        <v>177</v>
      </c>
      <c r="C12" s="23"/>
      <c r="D12" s="23"/>
      <c r="E12" s="23"/>
      <c r="F12" s="23"/>
      <c r="G12" s="23"/>
      <c r="H12" s="23"/>
    </row>
    <row r="13" spans="2:8" ht="15" customHeight="1"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16</v>
      </c>
      <c r="G13" s="12" t="s">
        <v>17</v>
      </c>
      <c r="H13" s="12" t="s">
        <v>18</v>
      </c>
    </row>
    <row r="14" spans="2:8" ht="45.75" customHeight="1">
      <c r="B14" s="3" t="s">
        <v>31</v>
      </c>
      <c r="C14" s="13">
        <v>4</v>
      </c>
      <c r="D14" s="14" t="s">
        <v>37</v>
      </c>
      <c r="E14" s="3" t="s">
        <v>38</v>
      </c>
      <c r="F14" s="15" t="s">
        <v>23</v>
      </c>
      <c r="G14" s="14" t="s">
        <v>178</v>
      </c>
      <c r="H14" s="3"/>
    </row>
    <row r="15" spans="2:8" ht="45.75" customHeight="1">
      <c r="B15" s="3" t="s">
        <v>47</v>
      </c>
      <c r="C15" s="13">
        <v>9</v>
      </c>
      <c r="D15" s="14" t="s">
        <v>63</v>
      </c>
      <c r="E15" s="3" t="s">
        <v>64</v>
      </c>
      <c r="F15" s="16" t="s">
        <v>155</v>
      </c>
      <c r="G15" s="14" t="s">
        <v>179</v>
      </c>
      <c r="H15" s="3" t="s">
        <v>180</v>
      </c>
    </row>
    <row r="16" spans="2:8" ht="45.75" customHeight="1">
      <c r="B16" s="3" t="s">
        <v>93</v>
      </c>
      <c r="C16" s="13">
        <v>16</v>
      </c>
      <c r="D16" s="14" t="s">
        <v>98</v>
      </c>
      <c r="E16" s="3" t="s">
        <v>99</v>
      </c>
      <c r="F16" s="17" t="s">
        <v>91</v>
      </c>
      <c r="G16" s="3"/>
      <c r="H16" s="14" t="s">
        <v>181</v>
      </c>
    </row>
    <row r="17" spans="2:8" ht="45.75" customHeight="1">
      <c r="B17" s="3" t="s">
        <v>114</v>
      </c>
      <c r="C17" s="13">
        <v>20</v>
      </c>
      <c r="D17" s="14" t="s">
        <v>115</v>
      </c>
      <c r="E17" s="3" t="s">
        <v>116</v>
      </c>
      <c r="F17" s="18" t="s">
        <v>156</v>
      </c>
      <c r="G17" s="3"/>
      <c r="H17" s="14" t="s">
        <v>182</v>
      </c>
    </row>
  </sheetData>
  <mergeCells count="9">
    <mergeCell ref="B2:H2"/>
    <mergeCell ref="C8:H8"/>
    <mergeCell ref="C4:H4"/>
    <mergeCell ref="C7:H7"/>
    <mergeCell ref="C6:H6"/>
    <mergeCell ref="C10:H10"/>
    <mergeCell ref="C5:H5"/>
    <mergeCell ref="C9:H9"/>
    <mergeCell ref="B12:H12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2026-10-23T02:37:40Z</dcterms:modified>
  <dc:language>en-US</dc:language>
</cp:coreProperties>
</file>