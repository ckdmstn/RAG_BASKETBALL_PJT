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<sst xmlns="http://schemas.openxmlformats.org/spreadsheetml/2006/main" count="237" uniqueCount="178">
  <si>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</si>
  <si>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</si>
  <si>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t xml:space="preserve">셀프</t>
  </si>
  <si>
    <t xml:space="preserve"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</si>
  <si>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 xml:space="preserve">앱 작성자</t>
  </si>
  <si>
    <t xml:space="preserve">차은수</t>
  </si>
  <si>
    <t xml:space="preserve">점검자</t>
  </si>
  <si>
    <t xml:space="preserve">점검 일시</t>
  </si>
  <si>
    <t xml:space="preserve">2026-10-23</t>
  </si>
  <si>
    <t xml:space="preserve">연한 노란 칸만 입력합니다.  결과(G열)는 목록에서 고릅니다 — 통과 · 실패 · 미확인 · 해당없음</t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</si>
  <si>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</si>
  <si>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</si>
  <si>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</si>
  <si>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</si>
  <si>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</si>
  <si>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</si>
  <si>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t xml:space="preserve">증빙 (캡처 · 파일명)</t>
  </si>
  <si>
    <t xml:space="preserve">비고 (실패 · 미확인 사유)</t>
  </si>
  <si>
    <t xml:space="preserve">데이터와 색인</t>
  </si>
  <si>
    <t xml:space="preserve">F2001</t>
  </si>
  <si>
    <t xml:space="preserve">로드한 항목 수와 색인된 청크 수가 일치하고, 항목 1건의 색인 텍스트에 의도한 속성이 모두 들어 있다</t>
  </si>
  <si>
    <t xml:space="preserve">로드 건수와 컬렉션 건수를 출력해 비교하고, 항목 1건의 색인 텍스트 확인</t>
  </si>
  <si>
    <t xml:space="preserve">통과</t>
  </si>
  <si>
    <r>
      <rPr>
        <sz val="10"/>
        <rFont val="맑은 고딕"/>
        <family val="3"/>
        <charset val="129"/>
      </rPr>
      <t xml:space="preserve">09_source_url_check.png (</t>
    </r>
    <r>
      <rPr>
        <sz val="10"/>
        <rFont val="Noto Sans CJK SC"/>
        <family val="2"/>
      </rPr>
      <t xml:space="preserve">선수 정보 근거에 포지션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신체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출신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드래프트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경력이 모두 들어 있음</t>
    </r>
    <r>
      <rPr>
        <sz val="10"/>
        <rFont val="맑은 고딕"/>
        <family val="3"/>
        <charset val="129"/>
      </rPr>
      <t xml:space="preserve">), docs/verification_log.md 1-1</t>
    </r>
  </si>
  <si>
    <t xml:space="preserve">선수 186명 읽음 = kbl_players 186청크</t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</si>
  <si>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</si>
  <si>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</si>
  <si>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</si>
  <si>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docs/verification_log.md 1-2</t>
  </si>
  <si>
    <t xml:space="preserve">두 번째 실행: 새로 0건, 건너뜀 186건, 청크 186 유지. (첫 실행에서는 186건이 새로 저장됨. 첫 실행 출력은 보관하지 않음)</t>
  </si>
  <si>
    <t xml:space="preserve">문서 수집과 색인</t>
  </si>
  <si>
    <t xml:space="preserve">F2003 · F2004</t>
  </si>
  <si>
    <t xml:space="preserve">검색어 추출(프롬프트 1)이 뽑은 검색어 목록이 확인되고, 후보 선별(프롬프트 2)에 따라 색인된 문서와 버려진 문서가 구분된다</t>
  </si>
  <si>
    <t xml:space="preserve">질문 1개를 실행하고 검색어 목록과 선별 결과를 나란히 출력</t>
  </si>
  <si>
    <t xml:space="preserve">docs/verification_log.md 3-1, 3-2</t>
  </si>
  <si>
    <t xml:space="preserve">검색어 목록과 선택/버림 문서를 나란히 확인</t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</si>
  <si>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</si>
  <si>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</si>
  <si>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</si>
  <si>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docs/verification_log.md 3-3, 4-4</t>
  </si>
  <si>
    <t xml:space="preserve">같은 검색어는 위키를 다시 호출하지 않고 색인도 늘지 않음. 한계: 검색어 문자열이 같을 때만 적중하며, LLM이 다른 검색어를 만들면 그것만 새로 검색됨. 처리 시간은 NF2001 행 참고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</si>
  <si>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</si>
  <si>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</si>
  <si>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</si>
  <si>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docs/verification_log.md 3-5</t>
  </si>
  <si>
    <t xml:space="preserve">정관장 문서: 1000/200 → 11청크, 500/100 → 27청크. 임베딩 없이 쪼개기만 비교했고 재색인은 하지 않음</t>
  </si>
  <si>
    <t xml:space="preserve">답변과 근거</t>
  </si>
  <si>
    <t xml:space="preserve">F2006</t>
  </si>
  <si>
    <t xml:space="preserve">검색할 근거 수(Top-k)를 설정에서 바꾸면 같은 질문의 근거 목록이 달라진다</t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</si>
  <si>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</si>
  <si>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docs/verification_log.md 4-6</t>
  </si>
  <si>
    <t xml:space="preserve">같은 질문에서 Top-k 3/6/10의 근거 목록이 달라짐 (k=3은 "우승 기록" 청크가 빠지고, k=10은 관련 없는 문서가 섞임)</t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</si>
  <si>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</si>
  <si>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</si>
  <si>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</si>
  <si>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docs/verification_log.md 4-4</t>
  </si>
  <si>
    <r>
      <rPr>
        <sz val="10"/>
        <rFont val="맑은 고딕"/>
        <family val="3"/>
        <charset val="129"/>
      </rPr>
      <t xml:space="preserve">try_graph </t>
    </r>
    <r>
      <rPr>
        <sz val="10"/>
        <rFont val="Noto Sans CJK SC"/>
        <family val="2"/>
      </rPr>
      <t xml:space="preserve">출력으로 </t>
    </r>
    <r>
      <rPr>
        <sz val="10"/>
        <rFont val="맑은 고딕"/>
        <family val="3"/>
        <charset val="129"/>
      </rPr>
      <t xml:space="preserve">retrieve → generate </t>
    </r>
    <r>
      <rPr>
        <sz val="10"/>
        <rFont val="Noto Sans CJK SC"/>
        <family val="2"/>
      </rPr>
      <t xml:space="preserve">두 노드의 실행 확인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그래프 구조 자체의 출력이나 코드 캡처는 따로 없음</t>
    </r>
  </si>
  <si>
    <t xml:space="preserve">F2008</t>
  </si>
  <si>
    <t xml:space="preserve">답변 본문의 근거 번호와 화면의 근거 목록이 일치하고, 항목 메타데이터와 외부 문서가 구분되어 표시된다</t>
  </si>
  <si>
    <t xml:space="preserve">답변을 생성해 번호와 목록을 대조</t>
  </si>
  <si>
    <t xml:space="preserve">09_source_url_check.png, 01_select_player.png, docs/verification_log.md 4-5</t>
  </si>
  <si>
    <t xml:space="preserve">답변의 [근거 1]과 화면 근거 목록이 일치하고 종류(선수 정보/팀 정보/문서)가 구분됨</t>
  </si>
  <si>
    <t xml:space="preserve">F2007 · F2008</t>
  </si>
  <si>
    <t xml:space="preserve">문서에 없는 것을 물으면 추측하지 않고 확인되지 않는다고 답하며, 인용된 근거가 없으면 그 사실이 화면에 안내된다</t>
  </si>
  <si>
    <t xml:space="preserve">색인에 없는 내용을 질문해 답변과 안내 확인</t>
  </si>
  <si>
    <t xml:space="preserve">02_chat_answer.png, docs/verification_log.md 4-5</t>
  </si>
  <si>
    <t xml:space="preserve">혈액형 질문에 "확인되지 않습니다"로 답하고 "답변에 인용된 근거가 없습니다" 안내가 표시됨</t>
  </si>
  <si>
    <t xml:space="preserve">서비스 기능과 화면</t>
  </si>
  <si>
    <t xml:space="preserve">F2009</t>
  </si>
  <si>
    <t xml:space="preserve">항목을 바꿨을 때 이전 대화가 섞이지 않는다</t>
  </si>
  <si>
    <t xml:space="preserve">항목 A에서 대화 후 항목 B로 바꿔 질문</t>
  </si>
  <si>
    <t xml:space="preserve">docs/verification_log.md 5-1</t>
  </si>
  <si>
    <t xml:space="preserve">선수를 바꿨다가 돌아와도 선수별 대화와 근거가 섞이지 않고 유지됨</t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</si>
  <si>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</si>
  <si>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</si>
  <si>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</si>
  <si>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05_player_search.png, 06_player_search.png, docs/verification_log.md 5-3</t>
  </si>
  <si>
    <t xml:space="preserve">조건 해석 결과와 코드 필터 결과를 대조함. 경력 키워드(신인왕)는 선별된 4명 모두 경력 문장에 직접 적혀 있음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</si>
  <si>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</si>
  <si>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</si>
  <si>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</si>
  <si>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03_team_guide.png, 04_team_guide.png, docs/verification_log.md 5-2</t>
  </si>
  <si>
    <t xml:space="preserve">팀 가이드 항목마다 [근거 n]이 붙고 선수단 수치는 코드가 계산한 값</t>
  </si>
  <si>
    <t xml:space="preserve">F2012</t>
  </si>
  <si>
    <t xml:space="preserve">처리 중 진행 상태가 표시되고, 색인이 없을 때와 API 키가 없을 때 각각 안내가 표시된다</t>
  </si>
  <si>
    <t xml:space="preserve">첫 질문 실행 중 화면 확인, 색인 삭제 후 실행, 키를 비우고 실행</t>
  </si>
  <si>
    <r>
      <rPr>
        <sz val="10"/>
        <rFont val="맑은 고딕"/>
        <family val="3"/>
        <charset val="129"/>
      </rPr>
      <t xml:space="preserve">03_team_guide.png(</t>
    </r>
    <r>
      <rPr>
        <sz val="10"/>
        <rFont val="Noto Sans CJK SC"/>
        <family val="2"/>
      </rPr>
      <t xml:space="preserve">진행 상태</t>
    </r>
    <r>
      <rPr>
        <sz val="10"/>
        <rFont val="맑은 고딕"/>
        <family val="3"/>
        <charset val="129"/>
      </rPr>
      <t xml:space="preserve">), 07_no_key.png(</t>
    </r>
    <r>
      <rPr>
        <sz val="10"/>
        <rFont val="Noto Sans CJK SC"/>
        <family val="2"/>
      </rPr>
      <t xml:space="preserve">키 없음</t>
    </r>
    <r>
      <rPr>
        <sz val="10"/>
        <rFont val="맑은 고딕"/>
        <family val="3"/>
        <charset val="129"/>
      </rPr>
      <t xml:space="preserve">), 10_no_data_error.png(</t>
    </r>
    <r>
      <rPr>
        <sz val="10"/>
        <rFont val="Noto Sans CJK SC"/>
        <family val="2"/>
      </rPr>
      <t xml:space="preserve">색인 없음</t>
    </r>
    <r>
      <rPr>
        <sz val="10"/>
        <rFont val="맑은 고딕"/>
        <family val="3"/>
        <charset val="129"/>
      </rPr>
      <t xml:space="preserve">)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</si>
  <si>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</si>
  <si>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</si>
  <si>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t xml:space="preserve">해당없음</t>
  </si>
  <si>
    <r>
      <rPr>
        <sz val="10"/>
        <rFont val="맑은 고딕"/>
        <family val="3"/>
        <charset val="129"/>
      </rPr>
      <t xml:space="preserve">KBL </t>
    </r>
    <r>
      <rPr>
        <sz val="10"/>
        <rFont val="Noto Sans CJK SC"/>
        <family val="2"/>
      </rPr>
      <t xml:space="preserve">선수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팀 정보는 건강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금융처럼 판단이 위험한 도메인이 아님</t>
    </r>
  </si>
  <si>
    <t xml:space="preserve">심화 기능 (선택한 것만)</t>
  </si>
  <si>
    <t xml:space="preserve">F2013</t>
  </si>
  <si>
    <t xml:space="preserve">화면이 HTML · CSS · JavaScript로 동작하고 질문 · 답변 · 근거가 모두 표시된다</t>
  </si>
  <si>
    <t xml:space="preserve">화면 실행 후 질문 · 답변 · 근거 표시 확인</t>
  </si>
  <si>
    <r>
      <rPr>
        <sz val="10"/>
        <rFont val="맑은 고딕"/>
        <family val="3"/>
        <charset val="129"/>
      </rPr>
      <t xml:space="preserve">F2013 </t>
    </r>
    <r>
      <rPr>
        <sz val="10"/>
        <rFont val="Noto Sans CJK SC"/>
        <family val="2"/>
      </rPr>
      <t xml:space="preserve">심화 기능을 선택하지 않음</t>
    </r>
  </si>
  <si>
    <t xml:space="preserve">F2014</t>
  </si>
  <si>
    <t xml:space="preserve">같은 질문에 유사도 검색과 MMR 검색을 각각 적용했을 때 근거 목록이 어떻게 달라지는지 확인된다</t>
  </si>
  <si>
    <t xml:space="preserve">두 검색 방식의 근거 목록을 나란히 비교</t>
  </si>
  <si>
    <r>
      <rPr>
        <sz val="10"/>
        <rFont val="맑은 고딕"/>
        <family val="3"/>
        <charset val="129"/>
      </rPr>
      <t xml:space="preserve">F2014 </t>
    </r>
    <r>
      <rPr>
        <sz val="10"/>
        <rFont val="Noto Sans CJK SC"/>
        <family val="2"/>
      </rPr>
      <t xml:space="preserve">심화 기능을 선택하지 않음</t>
    </r>
  </si>
  <si>
    <t xml:space="preserve">F2015</t>
  </si>
  <si>
    <t xml:space="preserve">대표 질문 5개 이상(근거 없이 답하면 틀리기 쉬운 질문)을 RAG 없이 / 근거를 붙여 각각 답하게 해, 사실 정확성 · 근거 제시 여부 · 모르는 것을 모른다고 답하는지를 비교해 기록했다</t>
  </si>
  <si>
    <t xml:space="preserve">비교 기록 확인</t>
  </si>
  <si>
    <t xml:space="preserve">docs/rag_comparison.md</t>
  </si>
  <si>
    <t xml:space="preserve">질문 6개(정답이 있는 5개 + 근거에 없는 1개). 사실 정확성 0/5 대 5/5, 근거 제시 0/5 대 5/5, 모르는 것을 모른다고 답함 1/1 대 1/1</t>
  </si>
  <si>
    <t xml:space="preserve">비교 결과를 문서로 작성해 제출물에 포함했다</t>
  </si>
  <si>
    <t xml:space="preserve">제출물 폴더 확인</t>
  </si>
  <si>
    <t xml:space="preserve">제출물에 비교 문서 포함 확인 (본인 확인)</t>
  </si>
  <si>
    <t xml:space="preserve">F2016</t>
  </si>
  <si>
    <t xml:space="preserve">근거 목록에 출처의 종류가 구분되어 표시된다</t>
  </si>
  <si>
    <t xml:space="preserve">근거 목록 화면 확인</t>
  </si>
  <si>
    <r>
      <rPr>
        <sz val="10"/>
        <rFont val="맑은 고딕"/>
        <family val="3"/>
        <charset val="129"/>
      </rPr>
      <t xml:space="preserve">F2016 </t>
    </r>
    <r>
      <rPr>
        <sz val="10"/>
        <rFont val="Noto Sans CJK SC"/>
        <family val="2"/>
      </rPr>
      <t xml:space="preserve">심화 기능을 선택하지 않음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근거 카드에 선수 정보</t>
    </r>
    <r>
      <rPr>
        <sz val="10"/>
        <rFont val="맑은 고딕"/>
        <family val="3"/>
        <charset val="129"/>
      </rPr>
      <t xml:space="preserve">/</t>
    </r>
    <r>
      <rPr>
        <sz val="10"/>
        <rFont val="Noto Sans CJK SC"/>
        <family val="2"/>
      </rPr>
      <t xml:space="preserve">팀 정보</t>
    </r>
    <r>
      <rPr>
        <sz val="10"/>
        <rFont val="맑은 고딕"/>
        <family val="3"/>
        <charset val="129"/>
      </rPr>
      <t xml:space="preserve">/</t>
    </r>
    <r>
      <rPr>
        <sz val="10"/>
        <rFont val="Noto Sans CJK SC"/>
        <family val="2"/>
      </rPr>
      <t xml:space="preserve">문서 종류는 구분되어 표시됨</t>
    </r>
    <r>
      <rPr>
        <sz val="10"/>
        <rFont val="맑은 고딕"/>
        <family val="3"/>
        <charset val="129"/>
      </rPr>
      <t xml:space="preserve">)</t>
    </r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</si>
  <si>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</si>
  <si>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</si>
  <si>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</si>
  <si>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</si>
  <si>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docs/verification_log.md NF2001</t>
  </si>
  <si>
    <t xml:space="preserve">첫 질문 27.9초(수집·색인 포함), 두 번째 질문 16.0초(캐시 사용). 대기 시간이 길어 진행 상태를 단계별로 표시함</t>
  </si>
  <si>
    <t xml:space="preserve">NF2003 · NF2004</t>
  </si>
  <si>
    <t xml:space="preserve">소스코드와 제출물에 API 키가 남아 있지 않고, 화면에 API 키 · 프롬프트 전문 · 오류 추적 정보가 노출되지 않는다</t>
  </si>
  <si>
    <t xml:space="preserve">저장소 전체에서 키 문자열 검색(.env 제외 여부 확인), 오류 상황을 일부러 만들어 화면 확인</t>
  </si>
  <si>
    <t xml:space="preserve">07_no_key.png, 08_error.png, docs/verification_log.md NF2003·NF2004</t>
  </si>
  <si>
    <t xml:space="preserve">저장소에서 키 앞 6글자를 .py·.md·.json·.txt·.csv에서 검색해 일치 없음(.env 제외). 화면에는 오류 종류 이름만 표시됨.</t>
  </si>
  <si>
    <t xml:space="preserve">NF2005</t>
  </si>
  <si>
    <t xml:space="preserve">수집 · 색인 · 검색 · 생성 · UI가 모듈로 분리되어 있다</t>
  </si>
  <si>
    <t xml:space="preserve">파일 구성 확인</t>
  </si>
  <si>
    <t xml:space="preserve">docs/verification_log.md NF2005</t>
  </si>
  <si>
    <r>
      <rPr>
        <sz val="10"/>
        <rFont val="맑은 고딕"/>
        <family val="3"/>
        <charset val="129"/>
      </rPr>
      <t xml:space="preserve">src/data_prep(</t>
    </r>
    <r>
      <rPr>
        <sz val="10"/>
        <rFont val="Noto Sans CJK SC"/>
        <family val="2"/>
      </rPr>
      <t xml:space="preserve">수집 준비</t>
    </r>
    <r>
      <rPr>
        <sz val="10"/>
        <rFont val="맑은 고딕"/>
        <family val="3"/>
        <charset val="129"/>
      </rPr>
      <t xml:space="preserve">), src/vectorstore(</t>
    </r>
    <r>
      <rPr>
        <sz val="10"/>
        <rFont val="Noto Sans CJK SC"/>
        <family val="2"/>
      </rPr>
      <t xml:space="preserve">색인</t>
    </r>
    <r>
      <rPr>
        <sz val="10"/>
        <rFont val="맑은 고딕"/>
        <family val="3"/>
        <charset val="129"/>
      </rPr>
      <t xml:space="preserve">), src/rag(</t>
    </r>
    <r>
      <rPr>
        <sz val="10"/>
        <rFont val="Noto Sans CJK SC"/>
        <family val="2"/>
      </rPr>
      <t xml:space="preserve">검색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생성</t>
    </r>
    <r>
      <rPr>
        <sz val="10"/>
        <rFont val="맑은 고딕"/>
        <family val="3"/>
        <charset val="129"/>
      </rPr>
      <t xml:space="preserve">·</t>
    </r>
    <r>
      <rPr>
        <sz val="10"/>
        <rFont val="Noto Sans CJK SC"/>
        <family val="2"/>
      </rPr>
      <t xml:space="preserve">그래프</t>
    </r>
    <r>
      <rPr>
        <sz val="10"/>
        <rFont val="맑은 고딕"/>
        <family val="3"/>
        <charset val="129"/>
      </rPr>
      <t xml:space="preserve">), app.py(UI)</t>
    </r>
    <r>
      <rPr>
        <sz val="10"/>
        <rFont val="Noto Sans CJK SC"/>
        <family val="2"/>
      </rPr>
      <t xml:space="preserve">로 분리</t>
    </r>
  </si>
  <si>
    <t xml:space="preserve">NF2006</t>
  </si>
  <si>
    <t xml:space="preserve">외부 호출의 재시도 · 호출 간격과 출처가 요구하는 식별 정보(예: 위키백과 User-Agent 연락처)를 지켰다</t>
  </si>
  <si>
    <t xml:space="preserve">호출 코드의 재시도 · 간격 · 헤더 확인</t>
  </si>
  <si>
    <t xml:space="preserve">src/data_prep/wiki.py</t>
  </si>
  <si>
    <r>
      <rPr>
        <sz val="10"/>
        <rFont val="맑은 고딕"/>
        <family val="3"/>
        <charset val="129"/>
      </rPr>
      <t xml:space="preserve">User-Agent</t>
    </r>
    <r>
      <rPr>
        <sz val="10"/>
        <rFont val="Noto Sans CJK SC"/>
        <family val="2"/>
      </rPr>
      <t xml:space="preserve">에 앱 이름과 연락처</t>
    </r>
    <r>
      <rPr>
        <sz val="10"/>
        <rFont val="맑은 고딕"/>
        <family val="3"/>
        <charset val="129"/>
      </rPr>
      <t xml:space="preserve">(WIKI_CONTACT </t>
    </r>
    <r>
      <rPr>
        <sz val="10"/>
        <rFont val="Noto Sans CJK SC"/>
        <family val="2"/>
      </rPr>
      <t xml:space="preserve">설정함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요청 전 </t>
    </r>
    <r>
      <rPr>
        <sz val="10"/>
        <rFont val="맑은 고딕"/>
        <family val="3"/>
        <charset val="129"/>
      </rPr>
      <t xml:space="preserve">0.4</t>
    </r>
    <r>
      <rPr>
        <sz val="10"/>
        <rFont val="Noto Sans CJK SC"/>
        <family val="2"/>
      </rPr>
      <t xml:space="preserve">초 대기</t>
    </r>
    <r>
      <rPr>
        <sz val="10"/>
        <rFont val="맑은 고딕"/>
        <family val="3"/>
        <charset val="129"/>
      </rPr>
      <t xml:space="preserve">, 429 </t>
    </r>
    <r>
      <rPr>
        <sz val="10"/>
        <rFont val="Noto Sans CJK SC"/>
        <family val="2"/>
      </rPr>
      <t xml:space="preserve">응답 시 </t>
    </r>
    <r>
      <rPr>
        <sz val="10"/>
        <rFont val="맑은 고딕"/>
        <family val="3"/>
        <charset val="129"/>
      </rPr>
      <t xml:space="preserve">Retry-After </t>
    </r>
    <r>
      <rPr>
        <sz val="10"/>
        <rFont val="Noto Sans CJK SC"/>
        <family val="2"/>
      </rPr>
      <t xml:space="preserve">대기 후 최대 </t>
    </r>
    <r>
      <rPr>
        <sz val="10"/>
        <rFont val="맑은 고딕"/>
        <family val="3"/>
        <charset val="129"/>
      </rPr>
      <t xml:space="preserve">4</t>
    </r>
    <r>
      <rPr>
        <sz val="10"/>
        <rFont val="Noto Sans CJK SC"/>
        <family val="2"/>
      </rPr>
      <t xml:space="preserve">회 재시도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타임아웃 </t>
    </r>
    <r>
      <rPr>
        <sz val="10"/>
        <rFont val="맑은 고딕"/>
        <family val="3"/>
        <charset val="129"/>
      </rPr>
      <t xml:space="preserve">20</t>
    </r>
    <r>
      <rPr>
        <sz val="10"/>
        <rFont val="Noto Sans CJK SC"/>
        <family val="2"/>
      </rPr>
      <t xml:space="preserve">초</t>
    </r>
  </si>
  <si>
    <t xml:space="preserve">NF2007</t>
  </si>
  <si>
    <t xml:space="preserve">사용한 데이터와 문서의 출처 · 이용 조건을 기록했다</t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</si>
  <si>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</si>
  <si>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r>
      <rPr>
        <sz val="10"/>
        <rFont val="맑은 고딕"/>
        <family val="3"/>
        <charset val="129"/>
      </rPr>
      <t xml:space="preserve">README.md "</t>
    </r>
    <r>
      <rPr>
        <sz val="10"/>
        <rFont val="Noto Sans CJK SC"/>
        <family val="2"/>
      </rPr>
      <t xml:space="preserve">데이터와 이용 조건</t>
    </r>
    <r>
      <rPr>
        <sz val="10"/>
        <rFont val="맑은 고딕"/>
        <family val="3"/>
        <charset val="129"/>
      </rPr>
      <t xml:space="preserve">", data/kbl_source_notes.json</t>
    </r>
  </si>
  <si>
    <t xml:space="preserve">위키백과 CC BY-SA 4.0, AI가 정리한 선수·팀 데이터(개인 학습용), 규정 PDF(공개 자료)를 기록</t>
  </si>
  <si>
    <t xml:space="preserve">제출 전 점검</t>
  </si>
  <si>
    <t xml:space="preserve">필수</t>
  </si>
  <si>
    <t xml:space="preserve">필수 기능 F2001 ~ F2012가 모두 동작하고, 선택한 심화 기능은 필수 기능의 결과와 비교되어 있다</t>
  </si>
  <si>
    <t xml:space="preserve">위 항목의 결과 종합, 비교 기록 확인</t>
  </si>
  <si>
    <t xml:space="preserve">docs/verification_log.md</t>
  </si>
  <si>
    <t xml:space="preserve">필수 기능 F2001~F2012가 모두 동작하고 심화 F2015는 비교 기록이 있음</t>
  </si>
  <si>
    <t xml:space="preserve">증명을 위한 스크린샷 항목을 모두 첨부했다</t>
  </si>
  <si>
    <t xml:space="preserve">증빙 칸과 첨부 파일 대조</t>
  </si>
  <si>
    <t xml:space="preserve">img/01~10</t>
  </si>
  <si>
    <t xml:space="preserve">캡처 10장이 img/에 있고 증빙 칸과 대조함 (본인 확인)</t>
  </si>
  <si>
    <t xml:space="preserve">요구사항 정의서 · RAG 파이프라인 설계문서 · 소스코드 · README.md · 검증 결과(요구사항 대조표, 테스트 결과표, 셀프 · 상호 체크리스트)를 모두 포함했다</t>
  </si>
  <si>
    <t xml:space="preserve">요구사항 정의서·설계문서·README·소스코드·검증 결과(대조표, 테스트 결과표, 셀프 체크리스트)가 제출물에 있음 (본인 확인)</t>
  </si>
  <si>
    <t xml:space="preserve">집계</t>
  </si>
  <si>
    <t xml:space="preserve">제출 전에 「실패」 · 「미확인」 · 「미기입」이 남아 있으면 비고에 사유가 적혀 있는지 확인합니다.</t>
  </si>
  <si>
    <t xml:space="preserve">실패</t>
  </si>
  <si>
    <t xml:space="preserve">미확인</t>
  </si>
  <si>
    <t xml:space="preserve">미기입</t>
  </si>
  <si>
    <t xml:space="preserve">전체 항목</t>
  </si>
  <si>
    <t xml:space="preserve">상호 점검 피드백 — 상호 점검 때만 작성 (짧게 한두 문장)</t>
  </si>
  <si>
    <t xml:space="preserve">잘한 것 하나</t>
  </si>
  <si>
    <t xml:space="preserve">개선할 것 하나</t>
  </si>
  <si>
    <t xml:space="preserve">셀프 · 상호 체크리스트 작성 안내</t>
  </si>
  <si>
    <t xml:space="preserve">언제</t>
  </si>
  <si>
    <t xml:space="preserve"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</si>
  <si>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 xml:space="preserve">무엇을 적나</t>
  </si>
  <si>
    <t xml:space="preserve">점검 유형(셀프 · 상호) · 앱 작성자 · 점검자 · 점검 일시, 그리고 항목마다 결과 · 증빙 · 비고를 적습니다.
연한 노란 칸만 입력합니다. 확인 항목과 확인 방법은 고치지 않습니다.</t>
  </si>
  <si>
    <t xml:space="preserve"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</si>
  <si>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 xml:space="preserve">증빙</t>
  </si>
  <si>
    <t xml:space="preserve">화면 캡처의 파일명을 적고 제출물에 함께 넣습니다. 번호를 앞에 붙이면 찾기 쉽습니다. 예) 04_재질문_수집로그.png
캡처에 API 키와 오류 상세 내용이 보이지 않게 합니다.</t>
  </si>
  <si>
    <t xml:space="preserve">체크리스트 아래 집계 칸이 결과를 자동으로 셉니다. 제출 전에 「실패」 · 「미확인」 · 「미기입」이 남아 있으면 비고에 사유가 적혀 있는지 확인합니다.</t>
  </si>
  <si>
    <t xml:space="preserve">상호 피드백</t>
  </si>
  <si>
    <t xml:space="preserve">상호 점검 때는 맨 아래에 잘한 것 하나, 개선할 것 하나를 짧게 적어 돌려줍니다.
지적받은 결함 중 고칠 수 있는 것만 고치고 최종 제출합니다. 새 기능은 넣지 않습니다.</t>
  </si>
  <si>
    <t xml:space="preserve">가장 중요한 규칙</t>
  </si>
  <si>
    <t xml:space="preserve">확인하지 않은 것을 통과로 적지 않습니다.</t>
  </si>
  <si>
    <t xml:space="preserve">작성 예시 — 모양만 보여 주는 예입니다. 실제 체크리스트에는 이 줄을 옮기지 않습니다.</t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</si>
  <si>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</si>
  <si>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</si>
  <si>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t xml:space="preserve">안내 문구는 나오지만 답변에 추측이 섞임 → 프롬프트 3에 '문서에 없으면 답하지 않는다' 규칙 추가 예정</t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</si>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</sst>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9"/>
      <color rgb="FF595959"/>
      <name val="Noto Sans CJK SC"/>
      <family val="2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맑은 고딕"/>
      <family val="3"/>
      <charset val="129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46"/>
    <col collapsed="false" customWidth="true" hidden="false" outlineLevel="0" max="7" min="7" style="1" width="11"/>
    <col collapsed="false" customWidth="true" hidden="false" outlineLevel="0" max="8" min="8" style="1" width="40"/>
    <col collapsed="false" customWidth="true" hidden="false" outlineLevel="0" max="9" min="9" style="1" width="60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B3" s="3" t="s">
        <v>1</v>
      </c>
      <c r="C3" s="4" t="s">
        <v>2</v>
      </c>
      <c r="D3" s="4"/>
      <c r="E3" s="4"/>
      <c r="F3" s="5" t="s">
        <v>3</v>
      </c>
      <c r="G3" s="5"/>
      <c r="H3" s="5"/>
      <c r="I3" s="5"/>
    </row>
    <row r="4" customFormat="false" ht="24" hidden="false" customHeight="true" outlineLevel="0" collapsed="false">
      <c r="B4" s="3" t="s">
        <v>4</v>
      </c>
      <c r="C4" s="4" t="s">
        <v>5</v>
      </c>
      <c r="D4" s="4"/>
      <c r="E4" s="4"/>
      <c r="F4" s="5"/>
      <c r="G4" s="5"/>
      <c r="H4" s="5"/>
      <c r="I4" s="5"/>
    </row>
    <row r="5" customFormat="false" ht="24" hidden="false" customHeight="true" outlineLevel="0" collapsed="false">
      <c r="B5" s="3" t="s">
        <v>6</v>
      </c>
      <c r="C5" s="4" t="s">
        <v>5</v>
      </c>
      <c r="D5" s="4"/>
      <c r="E5" s="4"/>
      <c r="F5" s="5"/>
      <c r="G5" s="5"/>
      <c r="H5" s="5"/>
      <c r="I5" s="5"/>
    </row>
    <row r="6" customFormat="false" ht="24" hidden="false" customHeight="true" outlineLevel="0" collapsed="false">
      <c r="B6" s="3" t="s">
        <v>7</v>
      </c>
      <c r="C6" s="6" t="s">
        <v>8</v>
      </c>
      <c r="D6" s="6"/>
      <c r="E6" s="6"/>
      <c r="F6" s="5"/>
      <c r="G6" s="5"/>
      <c r="H6" s="5"/>
      <c r="I6" s="5"/>
    </row>
    <row r="7" customFormat="false" ht="18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</row>
    <row r="8" customFormat="false" ht="24" hidden="false" customHeight="true" outlineLevel="0" collapsed="false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</row>
    <row r="9" customFormat="false" ht="69.75" hidden="false" customHeight="true" outlineLevel="0" collapsed="false">
      <c r="B9" s="8" t="s">
        <v>18</v>
      </c>
      <c r="C9" s="9" t="n">
        <v>1</v>
      </c>
      <c r="D9" s="9" t="s">
        <v>19</v>
      </c>
      <c r="E9" s="5" t="s">
        <v>20</v>
      </c>
      <c r="F9" s="5" t="s">
        <v>21</v>
      </c>
      <c r="G9" s="10" t="s">
        <v>22</v>
      </c>
      <c r="H9" s="11" t="s">
        <v>23</v>
      </c>
      <c r="I9" s="12" t="s">
        <v>24</v>
      </c>
    </row>
    <row r="10" customFormat="false" ht="54.75" hidden="false" customHeight="true" outlineLevel="0" collapsed="false">
      <c r="B10" s="8"/>
      <c r="C10" s="9" t="n">
        <v>2</v>
      </c>
      <c r="D10" s="9" t="s">
        <v>25</v>
      </c>
      <c r="E10" s="5" t="s">
        <v>26</v>
      </c>
      <c r="F10" s="5" t="s">
        <v>27</v>
      </c>
      <c r="G10" s="10" t="s">
        <v>22</v>
      </c>
      <c r="H10" s="11" t="s">
        <v>28</v>
      </c>
      <c r="I10" s="12" t="s">
        <v>29</v>
      </c>
    </row>
    <row r="11" customFormat="false" ht="54.75" hidden="false" customHeight="true" outlineLevel="0" collapsed="false">
      <c r="B11" s="8" t="s">
        <v>30</v>
      </c>
      <c r="C11" s="9" t="n">
        <v>3</v>
      </c>
      <c r="D11" s="9" t="s">
        <v>31</v>
      </c>
      <c r="E11" s="5" t="s">
        <v>32</v>
      </c>
      <c r="F11" s="5" t="s">
        <v>33</v>
      </c>
      <c r="G11" s="10" t="s">
        <v>22</v>
      </c>
      <c r="H11" s="11" t="s">
        <v>34</v>
      </c>
      <c r="I11" s="12" t="s">
        <v>35</v>
      </c>
    </row>
    <row r="12" customFormat="false" ht="69.75" hidden="false" customHeight="true" outlineLevel="0" collapsed="false">
      <c r="B12" s="8"/>
      <c r="C12" s="9" t="n">
        <v>4</v>
      </c>
      <c r="D12" s="9" t="s">
        <v>36</v>
      </c>
      <c r="E12" s="5" t="s">
        <v>37</v>
      </c>
      <c r="F12" s="5" t="s">
        <v>38</v>
      </c>
      <c r="G12" s="10" t="s">
        <v>22</v>
      </c>
      <c r="H12" s="11" t="s">
        <v>39</v>
      </c>
      <c r="I12" s="12" t="s">
        <v>40</v>
      </c>
    </row>
    <row r="13" customFormat="false" ht="39.75" hidden="false" customHeight="true" outlineLevel="0" collapsed="false">
      <c r="B13" s="8"/>
      <c r="C13" s="9" t="n">
        <v>5</v>
      </c>
      <c r="D13" s="9" t="s">
        <v>41</v>
      </c>
      <c r="E13" s="5" t="s">
        <v>42</v>
      </c>
      <c r="F13" s="5" t="s">
        <v>43</v>
      </c>
      <c r="G13" s="10" t="s">
        <v>22</v>
      </c>
      <c r="H13" s="11" t="s">
        <v>44</v>
      </c>
      <c r="I13" s="12" t="s">
        <v>45</v>
      </c>
    </row>
    <row r="14" customFormat="false" ht="39.75" hidden="false" customHeight="true" outlineLevel="0" collapsed="false">
      <c r="B14" s="8" t="s">
        <v>46</v>
      </c>
      <c r="C14" s="9" t="n">
        <v>6</v>
      </c>
      <c r="D14" s="9" t="s">
        <v>47</v>
      </c>
      <c r="E14" s="5" t="s">
        <v>48</v>
      </c>
      <c r="F14" s="13" t="s">
        <v>49</v>
      </c>
      <c r="G14" s="10" t="s">
        <v>22</v>
      </c>
      <c r="H14" s="11" t="s">
        <v>50</v>
      </c>
      <c r="I14" s="12" t="s">
        <v>51</v>
      </c>
    </row>
    <row r="15" customFormat="false" ht="39.75" hidden="false" customHeight="true" outlineLevel="0" collapsed="false">
      <c r="B15" s="8"/>
      <c r="C15" s="9" t="n">
        <v>7</v>
      </c>
      <c r="D15" s="9" t="s">
        <v>52</v>
      </c>
      <c r="E15" s="13" t="s">
        <v>53</v>
      </c>
      <c r="F15" s="5" t="s">
        <v>54</v>
      </c>
      <c r="G15" s="10" t="s">
        <v>22</v>
      </c>
      <c r="H15" s="11" t="s">
        <v>55</v>
      </c>
      <c r="I15" s="11" t="s">
        <v>56</v>
      </c>
    </row>
    <row r="16" customFormat="false" ht="54.75" hidden="false" customHeight="true" outlineLevel="0" collapsed="false">
      <c r="B16" s="8"/>
      <c r="C16" s="9" t="n">
        <v>8</v>
      </c>
      <c r="D16" s="9" t="s">
        <v>57</v>
      </c>
      <c r="E16" s="5" t="s">
        <v>58</v>
      </c>
      <c r="F16" s="5" t="s">
        <v>59</v>
      </c>
      <c r="G16" s="10" t="s">
        <v>22</v>
      </c>
      <c r="H16" s="11" t="s">
        <v>60</v>
      </c>
      <c r="I16" s="12" t="s">
        <v>61</v>
      </c>
    </row>
    <row r="17" customFormat="false" ht="54.75" hidden="false" customHeight="true" outlineLevel="0" collapsed="false">
      <c r="B17" s="8"/>
      <c r="C17" s="9" t="n">
        <v>9</v>
      </c>
      <c r="D17" s="9" t="s">
        <v>62</v>
      </c>
      <c r="E17" s="5" t="s">
        <v>63</v>
      </c>
      <c r="F17" s="5" t="s">
        <v>64</v>
      </c>
      <c r="G17" s="10" t="s">
        <v>22</v>
      </c>
      <c r="H17" s="11" t="s">
        <v>65</v>
      </c>
      <c r="I17" s="12" t="s">
        <v>66</v>
      </c>
    </row>
    <row r="18" customFormat="false" ht="39.75" hidden="false" customHeight="true" outlineLevel="0" collapsed="false">
      <c r="B18" s="8" t="s">
        <v>67</v>
      </c>
      <c r="C18" s="9" t="n">
        <v>10</v>
      </c>
      <c r="D18" s="9" t="s">
        <v>68</v>
      </c>
      <c r="E18" s="5" t="s">
        <v>69</v>
      </c>
      <c r="F18" s="5" t="s">
        <v>70</v>
      </c>
      <c r="G18" s="10" t="s">
        <v>22</v>
      </c>
      <c r="H18" s="11" t="s">
        <v>71</v>
      </c>
      <c r="I18" s="12" t="s">
        <v>72</v>
      </c>
    </row>
    <row r="19" customFormat="false" ht="54.75" hidden="false" customHeight="true" outlineLevel="0" collapsed="false">
      <c r="B19" s="8"/>
      <c r="C19" s="9" t="n">
        <v>11</v>
      </c>
      <c r="D19" s="9" t="s">
        <v>73</v>
      </c>
      <c r="E19" s="5" t="s">
        <v>74</v>
      </c>
      <c r="F19" s="5" t="s">
        <v>75</v>
      </c>
      <c r="G19" s="10" t="s">
        <v>22</v>
      </c>
      <c r="H19" s="11" t="s">
        <v>76</v>
      </c>
      <c r="I19" s="12" t="s">
        <v>77</v>
      </c>
    </row>
    <row r="20" customFormat="false" ht="39.75" hidden="false" customHeight="true" outlineLevel="0" collapsed="false">
      <c r="B20" s="8"/>
      <c r="C20" s="9" t="n">
        <v>12</v>
      </c>
      <c r="D20" s="9" t="s">
        <v>78</v>
      </c>
      <c r="E20" s="5" t="s">
        <v>79</v>
      </c>
      <c r="F20" s="5" t="s">
        <v>80</v>
      </c>
      <c r="G20" s="10" t="s">
        <v>22</v>
      </c>
      <c r="H20" s="11" t="s">
        <v>81</v>
      </c>
      <c r="I20" s="12" t="s">
        <v>82</v>
      </c>
    </row>
    <row r="21" customFormat="false" ht="54.75" hidden="false" customHeight="true" outlineLevel="0" collapsed="false">
      <c r="B21" s="8"/>
      <c r="C21" s="9" t="n">
        <v>13</v>
      </c>
      <c r="D21" s="9" t="s">
        <v>83</v>
      </c>
      <c r="E21" s="5" t="s">
        <v>84</v>
      </c>
      <c r="F21" s="5" t="s">
        <v>85</v>
      </c>
      <c r="G21" s="10" t="s">
        <v>22</v>
      </c>
      <c r="H21" s="11" t="s">
        <v>86</v>
      </c>
      <c r="I21" s="12"/>
    </row>
    <row r="22" customFormat="false" ht="54.75" hidden="false" customHeight="true" outlineLevel="0" collapsed="false">
      <c r="B22" s="8"/>
      <c r="C22" s="9" t="n">
        <v>14</v>
      </c>
      <c r="D22" s="9" t="s">
        <v>83</v>
      </c>
      <c r="E22" s="13" t="s">
        <v>87</v>
      </c>
      <c r="F22" s="5" t="s">
        <v>88</v>
      </c>
      <c r="G22" s="10" t="s">
        <v>89</v>
      </c>
      <c r="H22" s="12"/>
      <c r="I22" s="11" t="s">
        <v>90</v>
      </c>
    </row>
    <row r="23" customFormat="false" ht="39.75" hidden="false" customHeight="true" outlineLevel="0" collapsed="false">
      <c r="B23" s="8" t="s">
        <v>91</v>
      </c>
      <c r="C23" s="9" t="n">
        <v>15</v>
      </c>
      <c r="D23" s="9" t="s">
        <v>92</v>
      </c>
      <c r="E23" s="5" t="s">
        <v>93</v>
      </c>
      <c r="F23" s="5" t="s">
        <v>94</v>
      </c>
      <c r="G23" s="10" t="s">
        <v>89</v>
      </c>
      <c r="H23" s="12"/>
      <c r="I23" s="11" t="s">
        <v>95</v>
      </c>
    </row>
    <row r="24" customFormat="false" ht="39.75" hidden="false" customHeight="true" outlineLevel="0" collapsed="false">
      <c r="B24" s="8"/>
      <c r="C24" s="9" t="n">
        <v>16</v>
      </c>
      <c r="D24" s="9" t="s">
        <v>96</v>
      </c>
      <c r="E24" s="5" t="s">
        <v>97</v>
      </c>
      <c r="F24" s="5" t="s">
        <v>98</v>
      </c>
      <c r="G24" s="10" t="s">
        <v>89</v>
      </c>
      <c r="H24" s="12"/>
      <c r="I24" s="11" t="s">
        <v>99</v>
      </c>
    </row>
    <row r="25" customFormat="false" ht="69.75" hidden="false" customHeight="true" outlineLevel="0" collapsed="false">
      <c r="B25" s="8"/>
      <c r="C25" s="9" t="n">
        <v>17</v>
      </c>
      <c r="D25" s="9" t="s">
        <v>100</v>
      </c>
      <c r="E25" s="5" t="s">
        <v>101</v>
      </c>
      <c r="F25" s="5" t="s">
        <v>102</v>
      </c>
      <c r="G25" s="10" t="s">
        <v>22</v>
      </c>
      <c r="H25" s="11" t="s">
        <v>103</v>
      </c>
      <c r="I25" s="12" t="s">
        <v>104</v>
      </c>
    </row>
    <row r="26" customFormat="false" ht="34.5" hidden="false" customHeight="true" outlineLevel="0" collapsed="false">
      <c r="B26" s="8"/>
      <c r="C26" s="9" t="n">
        <v>18</v>
      </c>
      <c r="D26" s="9" t="s">
        <v>100</v>
      </c>
      <c r="E26" s="5" t="s">
        <v>105</v>
      </c>
      <c r="F26" s="5" t="s">
        <v>106</v>
      </c>
      <c r="G26" s="10" t="s">
        <v>22</v>
      </c>
      <c r="H26" s="11" t="s">
        <v>103</v>
      </c>
      <c r="I26" s="12" t="s">
        <v>107</v>
      </c>
    </row>
    <row r="27" customFormat="false" ht="39.75" hidden="false" customHeight="true" outlineLevel="0" collapsed="false">
      <c r="B27" s="8"/>
      <c r="C27" s="9" t="n">
        <v>19</v>
      </c>
      <c r="D27" s="9" t="s">
        <v>108</v>
      </c>
      <c r="E27" s="5" t="s">
        <v>109</v>
      </c>
      <c r="F27" s="5" t="s">
        <v>110</v>
      </c>
      <c r="G27" s="10" t="s">
        <v>89</v>
      </c>
      <c r="H27" s="12"/>
      <c r="I27" s="11" t="s">
        <v>111</v>
      </c>
    </row>
    <row r="28" customFormat="false" ht="39.75" hidden="false" customHeight="true" outlineLevel="0" collapsed="false">
      <c r="B28" s="8" t="s">
        <v>112</v>
      </c>
      <c r="C28" s="9" t="n">
        <v>20</v>
      </c>
      <c r="D28" s="9" t="s">
        <v>113</v>
      </c>
      <c r="E28" s="5" t="s">
        <v>114</v>
      </c>
      <c r="F28" s="5" t="s">
        <v>115</v>
      </c>
      <c r="G28" s="10" t="s">
        <v>22</v>
      </c>
      <c r="H28" s="11" t="s">
        <v>116</v>
      </c>
      <c r="I28" s="12" t="s">
        <v>117</v>
      </c>
    </row>
    <row r="29" customFormat="false" ht="54.75" hidden="false" customHeight="true" outlineLevel="0" collapsed="false">
      <c r="B29" s="8"/>
      <c r="C29" s="9" t="n">
        <v>21</v>
      </c>
      <c r="D29" s="9" t="s">
        <v>118</v>
      </c>
      <c r="E29" s="5" t="s">
        <v>119</v>
      </c>
      <c r="F29" s="5" t="s">
        <v>120</v>
      </c>
      <c r="G29" s="10" t="s">
        <v>22</v>
      </c>
      <c r="H29" s="11" t="s">
        <v>121</v>
      </c>
      <c r="I29" s="12" t="s">
        <v>122</v>
      </c>
    </row>
    <row r="30" customFormat="false" ht="39.75" hidden="false" customHeight="true" outlineLevel="0" collapsed="false">
      <c r="B30" s="8"/>
      <c r="C30" s="9" t="n">
        <v>22</v>
      </c>
      <c r="D30" s="9" t="s">
        <v>123</v>
      </c>
      <c r="E30" s="5" t="s">
        <v>124</v>
      </c>
      <c r="F30" s="5" t="s">
        <v>125</v>
      </c>
      <c r="G30" s="10" t="s">
        <v>22</v>
      </c>
      <c r="H30" s="11" t="s">
        <v>126</v>
      </c>
      <c r="I30" s="11" t="s">
        <v>127</v>
      </c>
    </row>
    <row r="31" customFormat="false" ht="54.75" hidden="false" customHeight="true" outlineLevel="0" collapsed="false">
      <c r="B31" s="8"/>
      <c r="C31" s="9" t="n">
        <v>23</v>
      </c>
      <c r="D31" s="9" t="s">
        <v>128</v>
      </c>
      <c r="E31" s="5" t="s">
        <v>129</v>
      </c>
      <c r="F31" s="5" t="s">
        <v>130</v>
      </c>
      <c r="G31" s="10" t="s">
        <v>22</v>
      </c>
      <c r="H31" s="11" t="s">
        <v>131</v>
      </c>
      <c r="I31" s="11" t="s">
        <v>132</v>
      </c>
    </row>
    <row r="32" customFormat="false" ht="39.75" hidden="false" customHeight="true" outlineLevel="0" collapsed="false">
      <c r="B32" s="8"/>
      <c r="C32" s="9" t="n">
        <v>24</v>
      </c>
      <c r="D32" s="9" t="s">
        <v>133</v>
      </c>
      <c r="E32" s="5" t="s">
        <v>134</v>
      </c>
      <c r="F32" s="13" t="s">
        <v>135</v>
      </c>
      <c r="G32" s="10" t="s">
        <v>22</v>
      </c>
      <c r="H32" s="11" t="s">
        <v>136</v>
      </c>
      <c r="I32" s="12" t="s">
        <v>137</v>
      </c>
    </row>
    <row r="33" customFormat="false" ht="39.75" hidden="false" customHeight="true" outlineLevel="0" collapsed="false">
      <c r="B33" s="8" t="s">
        <v>138</v>
      </c>
      <c r="C33" s="9" t="n">
        <v>25</v>
      </c>
      <c r="D33" s="14" t="s">
        <v>139</v>
      </c>
      <c r="E33" s="5" t="s">
        <v>140</v>
      </c>
      <c r="F33" s="5" t="s">
        <v>141</v>
      </c>
      <c r="G33" s="10" t="s">
        <v>22</v>
      </c>
      <c r="H33" s="11" t="s">
        <v>142</v>
      </c>
      <c r="I33" s="12" t="s">
        <v>143</v>
      </c>
    </row>
    <row r="34" customFormat="false" ht="34.5" hidden="false" customHeight="true" outlineLevel="0" collapsed="false">
      <c r="B34" s="8"/>
      <c r="C34" s="9" t="n">
        <v>26</v>
      </c>
      <c r="D34" s="14" t="s">
        <v>139</v>
      </c>
      <c r="E34" s="5" t="s">
        <v>144</v>
      </c>
      <c r="F34" s="5" t="s">
        <v>145</v>
      </c>
      <c r="G34" s="10" t="s">
        <v>22</v>
      </c>
      <c r="H34" s="11" t="s">
        <v>146</v>
      </c>
      <c r="I34" s="12" t="s">
        <v>147</v>
      </c>
    </row>
    <row r="35" customFormat="false" ht="69.75" hidden="false" customHeight="true" outlineLevel="0" collapsed="false">
      <c r="B35" s="8"/>
      <c r="C35" s="9" t="n">
        <v>27</v>
      </c>
      <c r="D35" s="14" t="s">
        <v>139</v>
      </c>
      <c r="E35" s="5" t="s">
        <v>148</v>
      </c>
      <c r="F35" s="5" t="s">
        <v>106</v>
      </c>
      <c r="G35" s="10" t="s">
        <v>22</v>
      </c>
      <c r="H35" s="12"/>
      <c r="I35" s="12" t="s">
        <v>149</v>
      </c>
    </row>
    <row r="37" customFormat="false" ht="19.5" hidden="false" customHeight="true" outlineLevel="0" collapsed="false">
      <c r="B37" s="3" t="s">
        <v>150</v>
      </c>
      <c r="C37" s="15" t="s">
        <v>22</v>
      </c>
      <c r="D37" s="15"/>
      <c r="E37" s="15"/>
      <c r="F37" s="16" t="n">
        <f aca="false">COUNTIF($G$9:$G$35,"통과")</f>
        <v>23</v>
      </c>
      <c r="G37" s="5" t="s">
        <v>151</v>
      </c>
      <c r="H37" s="5"/>
      <c r="I37" s="5"/>
    </row>
    <row r="38" customFormat="false" ht="19.5" hidden="false" customHeight="true" outlineLevel="0" collapsed="false">
      <c r="B38" s="3"/>
      <c r="C38" s="15" t="s">
        <v>152</v>
      </c>
      <c r="D38" s="15"/>
      <c r="E38" s="15"/>
      <c r="F38" s="16" t="n">
        <f aca="false">COUNTIF($G$9:$G$35,"실패")</f>
        <v>0</v>
      </c>
      <c r="G38" s="5"/>
      <c r="H38" s="5"/>
      <c r="I38" s="5"/>
    </row>
    <row r="39" customFormat="false" ht="19.5" hidden="false" customHeight="true" outlineLevel="0" collapsed="false">
      <c r="B39" s="3"/>
      <c r="C39" s="15" t="s">
        <v>153</v>
      </c>
      <c r="D39" s="15"/>
      <c r="E39" s="15"/>
      <c r="F39" s="16" t="n">
        <f aca="false">COUNTIF($G$9:$G$35,"미확인")</f>
        <v>0</v>
      </c>
      <c r="G39" s="5"/>
      <c r="H39" s="5"/>
      <c r="I39" s="5"/>
    </row>
    <row r="40" customFormat="false" ht="19.5" hidden="false" customHeight="true" outlineLevel="0" collapsed="false">
      <c r="B40" s="3"/>
      <c r="C40" s="15" t="s">
        <v>89</v>
      </c>
      <c r="D40" s="15"/>
      <c r="E40" s="15"/>
      <c r="F40" s="16" t="n">
        <f aca="false">COUNTIF($G$9:$G$35,"해당없음")</f>
        <v>4</v>
      </c>
      <c r="G40" s="5"/>
      <c r="H40" s="5"/>
      <c r="I40" s="5"/>
    </row>
    <row r="41" customFormat="false" ht="19.5" hidden="false" customHeight="true" outlineLevel="0" collapsed="false">
      <c r="B41" s="3"/>
      <c r="C41" s="15" t="s">
        <v>154</v>
      </c>
      <c r="D41" s="15"/>
      <c r="E41" s="15"/>
      <c r="F41" s="16" t="n">
        <f aca="false">COUNTA($E$9:$E$35)-COUNTA($G$9:$G$35)</f>
        <v>0</v>
      </c>
      <c r="G41" s="5"/>
      <c r="H41" s="5"/>
      <c r="I41" s="5"/>
    </row>
    <row r="42" customFormat="false" ht="19.5" hidden="false" customHeight="true" outlineLevel="0" collapsed="false">
      <c r="B42" s="3"/>
      <c r="C42" s="15" t="s">
        <v>155</v>
      </c>
      <c r="D42" s="15"/>
      <c r="E42" s="15"/>
      <c r="F42" s="16" t="n">
        <f aca="false">COUNTA($E$9:$E$35)</f>
        <v>27</v>
      </c>
      <c r="G42" s="5"/>
      <c r="H42" s="5"/>
      <c r="I42" s="5"/>
    </row>
    <row r="43" customFormat="false" ht="7.5" hidden="false" customHeight="true" outlineLevel="0" collapsed="false"/>
    <row r="44" customFormat="false" ht="21.75" hidden="false" customHeight="true" outlineLevel="0" collapsed="false">
      <c r="B44" s="17" t="s">
        <v>156</v>
      </c>
      <c r="C44" s="17"/>
      <c r="D44" s="17"/>
      <c r="E44" s="17"/>
      <c r="F44" s="17"/>
      <c r="G44" s="17"/>
      <c r="H44" s="17"/>
      <c r="I44" s="17"/>
    </row>
    <row r="45" customFormat="false" ht="42" hidden="false" customHeight="true" outlineLevel="0" collapsed="false">
      <c r="B45" s="15" t="s">
        <v>157</v>
      </c>
      <c r="C45" s="18"/>
      <c r="D45" s="18"/>
      <c r="E45" s="18"/>
      <c r="F45" s="18"/>
      <c r="G45" s="18"/>
      <c r="H45" s="18"/>
      <c r="I45" s="18"/>
    </row>
    <row r="46" customFormat="false" ht="42" hidden="false" customHeight="true" outlineLevel="0" collapsed="false">
      <c r="B46" s="15" t="s">
        <v>158</v>
      </c>
      <c r="C46" s="18"/>
      <c r="D46" s="18"/>
      <c r="E46" s="18"/>
      <c r="F46" s="18"/>
      <c r="G46" s="18"/>
      <c r="H46" s="18"/>
      <c r="I46" s="18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46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40"/>
  </cols>
  <sheetData>
    <row r="2" customFormat="false" ht="30" hidden="false" customHeight="true" outlineLevel="0" collapsed="false">
      <c r="B2" s="19" t="s">
        <v>159</v>
      </c>
      <c r="C2" s="19"/>
      <c r="D2" s="19"/>
      <c r="E2" s="19"/>
      <c r="F2" s="19"/>
      <c r="G2" s="19"/>
      <c r="H2" s="19"/>
    </row>
    <row r="4" customFormat="false" ht="45.75" hidden="false" customHeight="true" outlineLevel="0" collapsed="false">
      <c r="B4" s="20" t="s">
        <v>160</v>
      </c>
      <c r="C4" s="21" t="s">
        <v>161</v>
      </c>
      <c r="D4" s="21"/>
      <c r="E4" s="21"/>
      <c r="F4" s="21"/>
      <c r="G4" s="21"/>
      <c r="H4" s="21"/>
    </row>
    <row r="5" customFormat="false" ht="45.75" hidden="false" customHeight="true" outlineLevel="0" collapsed="false">
      <c r="B5" s="20" t="s">
        <v>162</v>
      </c>
      <c r="C5" s="21" t="s">
        <v>163</v>
      </c>
      <c r="D5" s="21"/>
      <c r="E5" s="21"/>
      <c r="F5" s="21"/>
      <c r="G5" s="21"/>
      <c r="H5" s="21"/>
    </row>
    <row r="6" customFormat="false" ht="81.75" hidden="false" customHeight="true" outlineLevel="0" collapsed="false">
      <c r="B6" s="20" t="s">
        <v>15</v>
      </c>
      <c r="C6" s="21" t="s">
        <v>164</v>
      </c>
      <c r="D6" s="21"/>
      <c r="E6" s="21"/>
      <c r="F6" s="21"/>
      <c r="G6" s="21"/>
      <c r="H6" s="21"/>
    </row>
    <row r="7" customFormat="false" ht="45.75" hidden="false" customHeight="true" outlineLevel="0" collapsed="false">
      <c r="B7" s="20" t="s">
        <v>165</v>
      </c>
      <c r="C7" s="21" t="s">
        <v>166</v>
      </c>
      <c r="D7" s="21"/>
      <c r="E7" s="21"/>
      <c r="F7" s="21"/>
      <c r="G7" s="21"/>
      <c r="H7" s="21"/>
    </row>
    <row r="8" customFormat="false" ht="27.75" hidden="false" customHeight="true" outlineLevel="0" collapsed="false">
      <c r="B8" s="20" t="s">
        <v>150</v>
      </c>
      <c r="C8" s="21" t="s">
        <v>167</v>
      </c>
      <c r="D8" s="21"/>
      <c r="E8" s="21"/>
      <c r="F8" s="21"/>
      <c r="G8" s="21"/>
      <c r="H8" s="21"/>
    </row>
    <row r="9" customFormat="false" ht="45.75" hidden="false" customHeight="true" outlineLevel="0" collapsed="false">
      <c r="B9" s="20" t="s">
        <v>168</v>
      </c>
      <c r="C9" s="21" t="s">
        <v>169</v>
      </c>
      <c r="D9" s="21"/>
      <c r="E9" s="21"/>
      <c r="F9" s="21"/>
      <c r="G9" s="21"/>
      <c r="H9" s="21"/>
    </row>
    <row r="10" customFormat="false" ht="27.75" hidden="false" customHeight="true" outlineLevel="0" collapsed="false">
      <c r="B10" s="20" t="s">
        <v>170</v>
      </c>
      <c r="C10" s="22" t="s">
        <v>171</v>
      </c>
      <c r="D10" s="22"/>
      <c r="E10" s="22"/>
      <c r="F10" s="22"/>
      <c r="G10" s="22"/>
      <c r="H10" s="22"/>
    </row>
    <row r="12" customFormat="false" ht="15" hidden="false" customHeight="true" outlineLevel="0" collapsed="false">
      <c r="B12" s="23" t="s">
        <v>172</v>
      </c>
      <c r="C12" s="23"/>
      <c r="D12" s="23"/>
      <c r="E12" s="23"/>
      <c r="F12" s="23"/>
      <c r="G12" s="23"/>
      <c r="H12" s="23"/>
    </row>
    <row r="13" customFormat="false" ht="15" hidden="false" customHeight="true" outlineLevel="0" collapsed="false">
      <c r="B13" s="24" t="s">
        <v>10</v>
      </c>
      <c r="C13" s="24" t="s">
        <v>11</v>
      </c>
      <c r="D13" s="24" t="s">
        <v>12</v>
      </c>
      <c r="E13" s="24" t="s">
        <v>13</v>
      </c>
      <c r="F13" s="24" t="s">
        <v>15</v>
      </c>
      <c r="G13" s="24" t="s">
        <v>16</v>
      </c>
      <c r="H13" s="24" t="s">
        <v>17</v>
      </c>
    </row>
    <row r="14" customFormat="false" ht="45.75" hidden="false" customHeight="true" outlineLevel="0" collapsed="false">
      <c r="B14" s="5" t="s">
        <v>30</v>
      </c>
      <c r="C14" s="25" t="n">
        <v>4</v>
      </c>
      <c r="D14" s="26" t="s">
        <v>36</v>
      </c>
      <c r="E14" s="5" t="s">
        <v>37</v>
      </c>
      <c r="F14" s="27" t="s">
        <v>22</v>
      </c>
      <c r="G14" s="26" t="s">
        <v>173</v>
      </c>
      <c r="H14" s="5"/>
    </row>
    <row r="15" customFormat="false" ht="45.75" hidden="false" customHeight="true" outlineLevel="0" collapsed="false">
      <c r="B15" s="5" t="s">
        <v>46</v>
      </c>
      <c r="C15" s="25" t="n">
        <v>9</v>
      </c>
      <c r="D15" s="26" t="s">
        <v>62</v>
      </c>
      <c r="E15" s="5" t="s">
        <v>63</v>
      </c>
      <c r="F15" s="28" t="s">
        <v>152</v>
      </c>
      <c r="G15" s="26" t="s">
        <v>174</v>
      </c>
      <c r="H15" s="5" t="s">
        <v>175</v>
      </c>
    </row>
    <row r="16" customFormat="false" ht="45.75" hidden="false" customHeight="true" outlineLevel="0" collapsed="false">
      <c r="B16" s="5" t="s">
        <v>91</v>
      </c>
      <c r="C16" s="25" t="n">
        <v>16</v>
      </c>
      <c r="D16" s="26" t="s">
        <v>96</v>
      </c>
      <c r="E16" s="5" t="s">
        <v>97</v>
      </c>
      <c r="F16" s="29" t="s">
        <v>89</v>
      </c>
      <c r="G16" s="5"/>
      <c r="H16" s="26" t="s">
        <v>176</v>
      </c>
    </row>
    <row r="17" customFormat="false" ht="45.75" hidden="false" customHeight="true" outlineLevel="0" collapsed="false">
      <c r="B17" s="5" t="s">
        <v>112</v>
      </c>
      <c r="C17" s="25" t="n">
        <v>20</v>
      </c>
      <c r="D17" s="26" t="s">
        <v>113</v>
      </c>
      <c r="E17" s="5" t="s">
        <v>114</v>
      </c>
      <c r="F17" s="30" t="s">
        <v>153</v>
      </c>
      <c r="G17" s="5"/>
      <c r="H17" s="26" t="s">
        <v>177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2026-10-23T02:39:07Z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